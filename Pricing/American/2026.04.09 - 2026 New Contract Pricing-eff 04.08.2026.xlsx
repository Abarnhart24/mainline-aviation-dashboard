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berggroup.sharepoint.com/sites/MLAFinanceClose/Shared Documents/=AA Files - ATL/Pricing/"/>
    </mc:Choice>
  </mc:AlternateContent>
  <xr:revisionPtr revIDLastSave="0" documentId="8_{53D77EEA-7176-4911-9E6C-33817FC919E2}" xr6:coauthVersionLast="47" xr6:coauthVersionMax="47" xr10:uidLastSave="{00000000-0000-0000-0000-000000000000}"/>
  <bookViews>
    <workbookView xWindow="28680" yWindow="-120" windowWidth="29040" windowHeight="15720" tabRatio="584" xr2:uid="{3878DC0D-D631-4485-A479-2F0E1350B721}"/>
  </bookViews>
  <sheets>
    <sheet name="Sheet1" sheetId="1" r:id="rId1"/>
    <sheet name="ATL" sheetId="2" r:id="rId2"/>
  </sheets>
  <definedNames>
    <definedName name="_xlnm._FilterDatabase" localSheetId="1" hidden="1">ATL!$A$2:$F$286</definedName>
    <definedName name="_xlnm._FilterDatabase" localSheetId="0" hidden="1">Sheet1!$A$1:$F$285</definedName>
    <definedName name="Bid_usage_summary_with_vertical__short_">ATL!$A$2:$E$268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5" i="2" l="1"/>
  <c r="K285" i="2" s="1"/>
  <c r="K284" i="2"/>
  <c r="J284" i="2"/>
  <c r="J283" i="2"/>
  <c r="K283" i="2" s="1"/>
  <c r="J282" i="2"/>
  <c r="K282" i="2" s="1"/>
  <c r="J281" i="2"/>
  <c r="K281" i="2" s="1"/>
  <c r="J280" i="2"/>
  <c r="K280" i="2" s="1"/>
  <c r="J279" i="2"/>
  <c r="K279" i="2" s="1"/>
  <c r="K278" i="2"/>
  <c r="J278" i="2"/>
  <c r="J277" i="2"/>
  <c r="K277" i="2" s="1"/>
  <c r="J276" i="2"/>
  <c r="K276" i="2" s="1"/>
  <c r="J275" i="2"/>
  <c r="K275" i="2" s="1"/>
  <c r="J274" i="2"/>
  <c r="K274" i="2" s="1"/>
  <c r="J273" i="2"/>
  <c r="K273" i="2" s="1"/>
  <c r="K272" i="2"/>
  <c r="J272" i="2"/>
  <c r="J271" i="2"/>
  <c r="K271" i="2" s="1"/>
  <c r="J270" i="2"/>
  <c r="K270" i="2" s="1"/>
  <c r="J269" i="2"/>
  <c r="K269" i="2" s="1"/>
  <c r="J268" i="2"/>
  <c r="K268" i="2" s="1"/>
  <c r="J267" i="2"/>
  <c r="K267" i="2" s="1"/>
  <c r="K266" i="2"/>
  <c r="J266" i="2"/>
  <c r="J265" i="2"/>
  <c r="K265" i="2" s="1"/>
  <c r="J233" i="2"/>
  <c r="K233" i="2" s="1"/>
  <c r="J232" i="2"/>
  <c r="K232" i="2" s="1"/>
  <c r="J231" i="2"/>
  <c r="K231" i="2" s="1"/>
  <c r="J230" i="2"/>
  <c r="K230" i="2" s="1"/>
  <c r="K229" i="2"/>
  <c r="J229" i="2"/>
  <c r="J228" i="2"/>
  <c r="K228" i="2" s="1"/>
  <c r="J227" i="2"/>
  <c r="K227" i="2" s="1"/>
  <c r="J226" i="2"/>
  <c r="K226" i="2" s="1"/>
  <c r="J225" i="2"/>
  <c r="K225" i="2" s="1"/>
  <c r="J224" i="2"/>
  <c r="K224" i="2" s="1"/>
  <c r="K223" i="2"/>
  <c r="J223" i="2"/>
  <c r="J222" i="2"/>
  <c r="K222" i="2" s="1"/>
  <c r="J221" i="2"/>
  <c r="K221" i="2" s="1"/>
  <c r="J220" i="2"/>
  <c r="K220" i="2" s="1"/>
  <c r="J219" i="2"/>
  <c r="K219" i="2" s="1"/>
  <c r="J218" i="2"/>
  <c r="K218" i="2" s="1"/>
  <c r="K217" i="2"/>
  <c r="J217" i="2"/>
  <c r="J216" i="2"/>
  <c r="K216" i="2" s="1"/>
  <c r="J215" i="2"/>
  <c r="K215" i="2" s="1"/>
  <c r="J214" i="2"/>
  <c r="K214" i="2" s="1"/>
  <c r="J213" i="2"/>
  <c r="K213" i="2" s="1"/>
  <c r="J212" i="2"/>
  <c r="K212" i="2" s="1"/>
  <c r="K211" i="2"/>
  <c r="J211" i="2"/>
  <c r="J210" i="2"/>
  <c r="K210" i="2" s="1"/>
  <c r="J209" i="2"/>
  <c r="K209" i="2" s="1"/>
  <c r="J208" i="2"/>
  <c r="K208" i="2" s="1"/>
  <c r="J207" i="2"/>
  <c r="K207" i="2" s="1"/>
  <c r="J206" i="2"/>
  <c r="K206" i="2" s="1"/>
  <c r="K205" i="2"/>
  <c r="J205" i="2"/>
  <c r="J204" i="2"/>
  <c r="K204" i="2" s="1"/>
  <c r="J203" i="2"/>
  <c r="K203" i="2" s="1"/>
  <c r="J202" i="2"/>
  <c r="K202" i="2" s="1"/>
  <c r="J201" i="2"/>
  <c r="K201" i="2" s="1"/>
  <c r="J200" i="2"/>
  <c r="K200" i="2" s="1"/>
  <c r="K199" i="2"/>
  <c r="J199" i="2"/>
  <c r="J198" i="2"/>
  <c r="K198" i="2" s="1"/>
  <c r="J197" i="2"/>
  <c r="K197" i="2" s="1"/>
  <c r="J196" i="2"/>
  <c r="K196" i="2" s="1"/>
  <c r="J195" i="2"/>
  <c r="K195" i="2" s="1"/>
  <c r="J194" i="2"/>
  <c r="K194" i="2" s="1"/>
  <c r="K193" i="2"/>
  <c r="J193" i="2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K184" i="2"/>
  <c r="J184" i="2"/>
  <c r="J183" i="2"/>
  <c r="K183" i="2" s="1"/>
  <c r="J182" i="2"/>
  <c r="K182" i="2" s="1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K160" i="2"/>
  <c r="J160" i="2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K122" i="2"/>
  <c r="J122" i="2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K104" i="2"/>
  <c r="J104" i="2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K80" i="2"/>
  <c r="J80" i="2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K50" i="2"/>
  <c r="J50" i="2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K32" i="2"/>
  <c r="J32" i="2"/>
  <c r="J31" i="2"/>
  <c r="K31" i="2" s="1"/>
  <c r="J30" i="2"/>
  <c r="K30" i="2" s="1"/>
  <c r="J29" i="2"/>
  <c r="K29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K8" i="2"/>
  <c r="J8" i="2"/>
  <c r="J7" i="2"/>
  <c r="K7" i="2" s="1"/>
  <c r="J6" i="2"/>
  <c r="K6" i="2" s="1"/>
  <c r="J5" i="2"/>
  <c r="K5" i="2" s="1"/>
  <c r="J4" i="2"/>
  <c r="K4" i="2" s="1"/>
  <c r="J3" i="2"/>
  <c r="K3" i="2" s="1"/>
  <c r="I283" i="1"/>
  <c r="H283" i="1"/>
  <c r="H282" i="1"/>
  <c r="I282" i="1"/>
  <c r="K286" i="2" l="1"/>
  <c r="J282" i="1"/>
  <c r="K283" i="1"/>
  <c r="J283" i="1"/>
  <c r="I280" i="1"/>
  <c r="K280" i="1" s="1"/>
  <c r="I279" i="1"/>
  <c r="K279" i="1" s="1"/>
  <c r="I278" i="1"/>
  <c r="K278" i="1" s="1"/>
  <c r="I277" i="1"/>
  <c r="K277" i="1" s="1"/>
  <c r="I276" i="1"/>
  <c r="K276" i="1" s="1"/>
  <c r="I275" i="1"/>
  <c r="K275" i="1" s="1"/>
  <c r="I274" i="1"/>
  <c r="K274" i="1" s="1"/>
  <c r="I273" i="1"/>
  <c r="K273" i="1" s="1"/>
  <c r="I272" i="1"/>
  <c r="K272" i="1" s="1"/>
  <c r="I271" i="1"/>
  <c r="K271" i="1" s="1"/>
  <c r="I270" i="1"/>
  <c r="K270" i="1" s="1"/>
  <c r="I269" i="1"/>
  <c r="K269" i="1" s="1"/>
  <c r="I268" i="1"/>
  <c r="K268" i="1" s="1"/>
  <c r="I267" i="1"/>
  <c r="K267" i="1" s="1"/>
  <c r="I266" i="1"/>
  <c r="K266" i="1" s="1"/>
  <c r="I265" i="1"/>
  <c r="K265" i="1" s="1"/>
  <c r="I264" i="1"/>
  <c r="K264" i="1" s="1"/>
  <c r="I285" i="1"/>
  <c r="K285" i="1" s="1"/>
  <c r="I284" i="1"/>
  <c r="K284" i="1" s="1"/>
  <c r="K282" i="1"/>
  <c r="I263" i="1"/>
  <c r="K263" i="1" s="1"/>
  <c r="I262" i="1"/>
  <c r="K262" i="1" s="1"/>
  <c r="I261" i="1"/>
  <c r="K261" i="1" s="1"/>
  <c r="I260" i="1"/>
  <c r="K260" i="1" s="1"/>
  <c r="I259" i="1"/>
  <c r="K259" i="1" s="1"/>
  <c r="I258" i="1"/>
  <c r="K258" i="1" s="1"/>
  <c r="I257" i="1"/>
  <c r="K257" i="1" s="1"/>
  <c r="I256" i="1"/>
  <c r="K256" i="1" s="1"/>
  <c r="I255" i="1"/>
  <c r="K255" i="1" s="1"/>
  <c r="I254" i="1"/>
  <c r="K254" i="1" s="1"/>
  <c r="I253" i="1"/>
  <c r="K253" i="1" s="1"/>
  <c r="I252" i="1"/>
  <c r="K252" i="1" s="1"/>
  <c r="I251" i="1"/>
  <c r="K251" i="1" s="1"/>
  <c r="I250" i="1"/>
  <c r="K250" i="1" s="1"/>
  <c r="I249" i="1"/>
  <c r="K249" i="1" s="1"/>
  <c r="I248" i="1"/>
  <c r="K248" i="1" s="1"/>
  <c r="I247" i="1"/>
  <c r="K247" i="1" s="1"/>
  <c r="I246" i="1"/>
  <c r="K246" i="1" s="1"/>
  <c r="I245" i="1"/>
  <c r="K245" i="1" s="1"/>
  <c r="I244" i="1"/>
  <c r="K244" i="1" s="1"/>
  <c r="I243" i="1"/>
  <c r="K243" i="1" s="1"/>
  <c r="I242" i="1"/>
  <c r="K242" i="1" s="1"/>
  <c r="I241" i="1"/>
  <c r="K241" i="1" s="1"/>
  <c r="I240" i="1"/>
  <c r="K240" i="1" s="1"/>
  <c r="I239" i="1"/>
  <c r="K239" i="1" s="1"/>
  <c r="I238" i="1"/>
  <c r="K238" i="1" s="1"/>
  <c r="I237" i="1"/>
  <c r="K237" i="1" s="1"/>
  <c r="I236" i="1"/>
  <c r="K236" i="1" s="1"/>
  <c r="I235" i="1"/>
  <c r="K235" i="1" s="1"/>
  <c r="I234" i="1"/>
  <c r="K234" i="1" s="1"/>
  <c r="I233" i="1"/>
  <c r="K233" i="1" s="1"/>
  <c r="I232" i="1"/>
  <c r="K232" i="1" s="1"/>
  <c r="I231" i="1"/>
  <c r="K231" i="1" s="1"/>
  <c r="I230" i="1"/>
  <c r="K230" i="1" s="1"/>
  <c r="I229" i="1"/>
  <c r="K229" i="1" s="1"/>
  <c r="I228" i="1"/>
  <c r="K228" i="1" s="1"/>
  <c r="I227" i="1"/>
  <c r="K227" i="1" s="1"/>
  <c r="I226" i="1"/>
  <c r="K226" i="1" s="1"/>
  <c r="I225" i="1"/>
  <c r="K225" i="1" s="1"/>
  <c r="I224" i="1"/>
  <c r="K224" i="1" s="1"/>
  <c r="I223" i="1"/>
  <c r="K223" i="1" s="1"/>
  <c r="I222" i="1"/>
  <c r="K222" i="1" s="1"/>
  <c r="I221" i="1"/>
  <c r="K221" i="1" s="1"/>
  <c r="I220" i="1"/>
  <c r="K220" i="1" s="1"/>
  <c r="I219" i="1"/>
  <c r="K219" i="1" s="1"/>
  <c r="I218" i="1"/>
  <c r="K218" i="1" s="1"/>
  <c r="I217" i="1"/>
  <c r="K217" i="1" s="1"/>
  <c r="I216" i="1"/>
  <c r="K216" i="1" s="1"/>
  <c r="I215" i="1"/>
  <c r="K215" i="1" s="1"/>
  <c r="I214" i="1"/>
  <c r="K214" i="1" s="1"/>
  <c r="I213" i="1"/>
  <c r="K213" i="1" s="1"/>
  <c r="I212" i="1"/>
  <c r="K212" i="1" s="1"/>
  <c r="I211" i="1"/>
  <c r="K211" i="1" s="1"/>
  <c r="I210" i="1"/>
  <c r="K210" i="1" s="1"/>
  <c r="I209" i="1"/>
  <c r="K209" i="1" s="1"/>
  <c r="I208" i="1"/>
  <c r="K208" i="1" s="1"/>
  <c r="I207" i="1"/>
  <c r="K207" i="1" s="1"/>
  <c r="I206" i="1"/>
  <c r="K206" i="1" s="1"/>
  <c r="I205" i="1"/>
  <c r="K205" i="1" s="1"/>
  <c r="I204" i="1"/>
  <c r="K204" i="1" s="1"/>
  <c r="I203" i="1"/>
  <c r="K203" i="1" s="1"/>
  <c r="I202" i="1"/>
  <c r="K202" i="1" s="1"/>
  <c r="I201" i="1"/>
  <c r="K201" i="1" s="1"/>
  <c r="I200" i="1"/>
  <c r="K200" i="1" s="1"/>
  <c r="I199" i="1"/>
  <c r="K199" i="1" s="1"/>
  <c r="I198" i="1"/>
  <c r="K198" i="1" s="1"/>
  <c r="I197" i="1"/>
  <c r="K197" i="1" s="1"/>
  <c r="I196" i="1"/>
  <c r="K196" i="1" s="1"/>
  <c r="I195" i="1"/>
  <c r="K195" i="1" s="1"/>
  <c r="I194" i="1"/>
  <c r="K194" i="1" s="1"/>
  <c r="I193" i="1"/>
  <c r="K193" i="1" s="1"/>
  <c r="I192" i="1"/>
  <c r="K192" i="1" s="1"/>
  <c r="I191" i="1"/>
  <c r="K191" i="1" s="1"/>
  <c r="I190" i="1"/>
  <c r="K190" i="1" s="1"/>
  <c r="I189" i="1"/>
  <c r="K189" i="1" s="1"/>
  <c r="I188" i="1"/>
  <c r="K188" i="1" s="1"/>
  <c r="I187" i="1"/>
  <c r="K187" i="1" s="1"/>
  <c r="I186" i="1"/>
  <c r="K186" i="1" s="1"/>
  <c r="I185" i="1"/>
  <c r="K185" i="1" s="1"/>
  <c r="I184" i="1"/>
  <c r="K184" i="1" s="1"/>
  <c r="I183" i="1"/>
  <c r="K183" i="1" s="1"/>
  <c r="I182" i="1"/>
  <c r="K182" i="1" s="1"/>
  <c r="I181" i="1"/>
  <c r="K181" i="1" s="1"/>
  <c r="I180" i="1"/>
  <c r="K180" i="1" s="1"/>
  <c r="I179" i="1"/>
  <c r="K179" i="1" s="1"/>
  <c r="I178" i="1"/>
  <c r="K178" i="1" s="1"/>
  <c r="I177" i="1"/>
  <c r="K177" i="1" s="1"/>
  <c r="I176" i="1"/>
  <c r="K176" i="1" s="1"/>
  <c r="I175" i="1"/>
  <c r="K175" i="1" s="1"/>
  <c r="I174" i="1"/>
  <c r="K174" i="1" s="1"/>
  <c r="I173" i="1"/>
  <c r="K173" i="1" s="1"/>
  <c r="I172" i="1"/>
  <c r="K172" i="1" s="1"/>
  <c r="I171" i="1"/>
  <c r="K171" i="1" s="1"/>
  <c r="I170" i="1"/>
  <c r="K170" i="1" s="1"/>
  <c r="I169" i="1"/>
  <c r="K169" i="1" s="1"/>
  <c r="I168" i="1"/>
  <c r="K168" i="1" s="1"/>
  <c r="I167" i="1"/>
  <c r="K167" i="1" s="1"/>
  <c r="I166" i="1"/>
  <c r="K166" i="1" s="1"/>
  <c r="I165" i="1"/>
  <c r="K165" i="1" s="1"/>
  <c r="I164" i="1"/>
  <c r="K164" i="1" s="1"/>
  <c r="I163" i="1"/>
  <c r="K163" i="1" s="1"/>
  <c r="I162" i="1"/>
  <c r="K162" i="1" s="1"/>
  <c r="I161" i="1"/>
  <c r="K161" i="1" s="1"/>
  <c r="I160" i="1"/>
  <c r="K160" i="1" s="1"/>
  <c r="I159" i="1"/>
  <c r="K159" i="1" s="1"/>
  <c r="I158" i="1"/>
  <c r="K158" i="1" s="1"/>
  <c r="I157" i="1"/>
  <c r="K157" i="1" s="1"/>
  <c r="I156" i="1"/>
  <c r="K156" i="1" s="1"/>
  <c r="I155" i="1"/>
  <c r="K155" i="1" s="1"/>
  <c r="I154" i="1"/>
  <c r="K154" i="1" s="1"/>
  <c r="I153" i="1"/>
  <c r="K153" i="1" s="1"/>
  <c r="I152" i="1"/>
  <c r="K152" i="1" s="1"/>
  <c r="I151" i="1"/>
  <c r="K151" i="1" s="1"/>
  <c r="I150" i="1"/>
  <c r="K150" i="1" s="1"/>
  <c r="I149" i="1"/>
  <c r="K149" i="1" s="1"/>
  <c r="I148" i="1"/>
  <c r="K148" i="1" s="1"/>
  <c r="I147" i="1"/>
  <c r="K147" i="1" s="1"/>
  <c r="I146" i="1"/>
  <c r="K146" i="1" s="1"/>
  <c r="I145" i="1"/>
  <c r="K145" i="1" s="1"/>
  <c r="I144" i="1"/>
  <c r="K144" i="1" s="1"/>
  <c r="I143" i="1"/>
  <c r="K143" i="1" s="1"/>
  <c r="I142" i="1"/>
  <c r="K142" i="1" s="1"/>
  <c r="I141" i="1"/>
  <c r="K141" i="1" s="1"/>
  <c r="I140" i="1"/>
  <c r="K140" i="1" s="1"/>
  <c r="I139" i="1"/>
  <c r="K139" i="1" s="1"/>
  <c r="I138" i="1"/>
  <c r="K138" i="1" s="1"/>
  <c r="I137" i="1"/>
  <c r="K137" i="1" s="1"/>
  <c r="I136" i="1"/>
  <c r="K136" i="1" s="1"/>
  <c r="I135" i="1"/>
  <c r="K135" i="1" s="1"/>
  <c r="I134" i="1"/>
  <c r="K134" i="1" s="1"/>
  <c r="I133" i="1"/>
  <c r="K133" i="1" s="1"/>
  <c r="I132" i="1"/>
  <c r="K132" i="1" s="1"/>
  <c r="I131" i="1"/>
  <c r="K131" i="1" s="1"/>
  <c r="I130" i="1"/>
  <c r="K130" i="1" s="1"/>
  <c r="I129" i="1"/>
  <c r="K129" i="1" s="1"/>
  <c r="I128" i="1"/>
  <c r="K128" i="1" s="1"/>
  <c r="I127" i="1"/>
  <c r="K127" i="1" s="1"/>
  <c r="I126" i="1"/>
  <c r="K126" i="1" s="1"/>
  <c r="I125" i="1"/>
  <c r="K125" i="1" s="1"/>
  <c r="I124" i="1"/>
  <c r="K124" i="1" s="1"/>
  <c r="I123" i="1"/>
  <c r="K123" i="1" s="1"/>
  <c r="I122" i="1"/>
  <c r="K122" i="1" s="1"/>
  <c r="I121" i="1"/>
  <c r="K121" i="1" s="1"/>
  <c r="I120" i="1"/>
  <c r="K120" i="1" s="1"/>
  <c r="I119" i="1"/>
  <c r="K119" i="1" s="1"/>
  <c r="I118" i="1"/>
  <c r="K118" i="1" s="1"/>
  <c r="I117" i="1"/>
  <c r="K117" i="1" s="1"/>
  <c r="I116" i="1"/>
  <c r="K116" i="1" s="1"/>
  <c r="I115" i="1"/>
  <c r="K115" i="1" s="1"/>
  <c r="I114" i="1"/>
  <c r="K114" i="1" s="1"/>
  <c r="I113" i="1"/>
  <c r="K113" i="1" s="1"/>
  <c r="I112" i="1"/>
  <c r="K112" i="1" s="1"/>
  <c r="I111" i="1"/>
  <c r="K111" i="1" s="1"/>
  <c r="I110" i="1"/>
  <c r="K110" i="1" s="1"/>
  <c r="I109" i="1"/>
  <c r="K109" i="1" s="1"/>
  <c r="I108" i="1"/>
  <c r="K108" i="1" s="1"/>
  <c r="I107" i="1"/>
  <c r="K107" i="1" s="1"/>
  <c r="I106" i="1"/>
  <c r="K106" i="1" s="1"/>
  <c r="I105" i="1"/>
  <c r="K105" i="1" s="1"/>
  <c r="I104" i="1"/>
  <c r="K104" i="1" s="1"/>
  <c r="I103" i="1"/>
  <c r="K103" i="1" s="1"/>
  <c r="I102" i="1"/>
  <c r="K102" i="1" s="1"/>
  <c r="I101" i="1"/>
  <c r="K101" i="1" s="1"/>
  <c r="I100" i="1"/>
  <c r="K100" i="1" s="1"/>
  <c r="I99" i="1"/>
  <c r="K99" i="1" s="1"/>
  <c r="I98" i="1"/>
  <c r="K98" i="1" s="1"/>
  <c r="I97" i="1"/>
  <c r="K97" i="1" s="1"/>
  <c r="I96" i="1"/>
  <c r="K96" i="1" s="1"/>
  <c r="I95" i="1"/>
  <c r="K95" i="1" s="1"/>
  <c r="I94" i="1"/>
  <c r="K94" i="1" s="1"/>
  <c r="I93" i="1"/>
  <c r="K93" i="1" s="1"/>
  <c r="I92" i="1"/>
  <c r="K92" i="1" s="1"/>
  <c r="I91" i="1"/>
  <c r="K91" i="1" s="1"/>
  <c r="I90" i="1"/>
  <c r="K90" i="1" s="1"/>
  <c r="I89" i="1"/>
  <c r="K89" i="1" s="1"/>
  <c r="I88" i="1"/>
  <c r="K88" i="1" s="1"/>
  <c r="I87" i="1"/>
  <c r="K87" i="1" s="1"/>
  <c r="I86" i="1"/>
  <c r="K86" i="1" s="1"/>
  <c r="I85" i="1"/>
  <c r="K85" i="1" s="1"/>
  <c r="I84" i="1"/>
  <c r="K84" i="1" s="1"/>
  <c r="I83" i="1"/>
  <c r="K83" i="1" s="1"/>
  <c r="I82" i="1"/>
  <c r="K82" i="1" s="1"/>
  <c r="I81" i="1"/>
  <c r="K81" i="1" s="1"/>
  <c r="I80" i="1"/>
  <c r="K80" i="1" s="1"/>
  <c r="I79" i="1"/>
  <c r="K79" i="1" s="1"/>
  <c r="I78" i="1"/>
  <c r="K78" i="1" s="1"/>
  <c r="I77" i="1"/>
  <c r="K77" i="1" s="1"/>
  <c r="I76" i="1"/>
  <c r="K76" i="1" s="1"/>
  <c r="I75" i="1"/>
  <c r="K75" i="1" s="1"/>
  <c r="I74" i="1"/>
  <c r="K74" i="1" s="1"/>
  <c r="I73" i="1"/>
  <c r="K73" i="1" s="1"/>
  <c r="I72" i="1"/>
  <c r="K72" i="1" s="1"/>
  <c r="I71" i="1"/>
  <c r="K71" i="1" s="1"/>
  <c r="I70" i="1"/>
  <c r="K70" i="1" s="1"/>
  <c r="I69" i="1"/>
  <c r="K69" i="1" s="1"/>
  <c r="I68" i="1"/>
  <c r="K68" i="1" s="1"/>
  <c r="I67" i="1"/>
  <c r="K67" i="1" s="1"/>
  <c r="I66" i="1"/>
  <c r="K66" i="1" s="1"/>
  <c r="I65" i="1"/>
  <c r="K65" i="1" s="1"/>
  <c r="I64" i="1"/>
  <c r="K64" i="1" s="1"/>
  <c r="I63" i="1"/>
  <c r="K63" i="1" s="1"/>
  <c r="I62" i="1"/>
  <c r="K62" i="1" s="1"/>
  <c r="I61" i="1"/>
  <c r="K61" i="1" s="1"/>
  <c r="I60" i="1"/>
  <c r="K60" i="1" s="1"/>
  <c r="I59" i="1"/>
  <c r="K59" i="1" s="1"/>
  <c r="I58" i="1"/>
  <c r="K58" i="1" s="1"/>
  <c r="I57" i="1"/>
  <c r="K57" i="1" s="1"/>
  <c r="I56" i="1"/>
  <c r="K56" i="1" s="1"/>
  <c r="I55" i="1"/>
  <c r="K55" i="1" s="1"/>
  <c r="I54" i="1"/>
  <c r="K54" i="1" s="1"/>
  <c r="I53" i="1"/>
  <c r="K53" i="1" s="1"/>
  <c r="I52" i="1"/>
  <c r="K52" i="1" s="1"/>
  <c r="I51" i="1"/>
  <c r="K51" i="1" s="1"/>
  <c r="I50" i="1"/>
  <c r="K50" i="1" s="1"/>
  <c r="I49" i="1"/>
  <c r="K49" i="1" s="1"/>
  <c r="I48" i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I42" i="1"/>
  <c r="K42" i="1" s="1"/>
  <c r="I41" i="1"/>
  <c r="K41" i="1" s="1"/>
  <c r="I40" i="1"/>
  <c r="K40" i="1" s="1"/>
  <c r="I39" i="1"/>
  <c r="K39" i="1" s="1"/>
  <c r="I38" i="1"/>
  <c r="K38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K5" i="1" s="1"/>
  <c r="I4" i="1"/>
  <c r="K4" i="1" s="1"/>
  <c r="I3" i="1"/>
  <c r="K3" i="1" s="1"/>
  <c r="I2" i="1"/>
  <c r="K2" i="1" s="1"/>
  <c r="H2" i="1"/>
  <c r="J2" i="1" s="1"/>
  <c r="H280" i="1"/>
  <c r="J280" i="1" s="1"/>
  <c r="H279" i="1"/>
  <c r="J279" i="1" s="1"/>
  <c r="H278" i="1"/>
  <c r="J278" i="1" s="1"/>
  <c r="H277" i="1"/>
  <c r="J277" i="1" s="1"/>
  <c r="H276" i="1"/>
  <c r="J276" i="1" s="1"/>
  <c r="H275" i="1"/>
  <c r="J275" i="1" s="1"/>
  <c r="H274" i="1"/>
  <c r="J274" i="1" s="1"/>
  <c r="H273" i="1"/>
  <c r="J273" i="1" s="1"/>
  <c r="H272" i="1"/>
  <c r="J272" i="1" s="1"/>
  <c r="H271" i="1"/>
  <c r="J271" i="1" s="1"/>
  <c r="H270" i="1"/>
  <c r="J270" i="1" s="1"/>
  <c r="H269" i="1"/>
  <c r="J269" i="1" s="1"/>
  <c r="H268" i="1"/>
  <c r="J268" i="1" s="1"/>
  <c r="H267" i="1"/>
  <c r="J267" i="1" s="1"/>
  <c r="H266" i="1"/>
  <c r="J266" i="1" s="1"/>
  <c r="H265" i="1"/>
  <c r="J265" i="1" s="1"/>
  <c r="H264" i="1"/>
  <c r="J264" i="1" s="1"/>
  <c r="H285" i="1"/>
  <c r="J285" i="1" s="1"/>
  <c r="H284" i="1"/>
  <c r="J284" i="1" s="1"/>
  <c r="H263" i="1"/>
  <c r="J263" i="1" s="1"/>
  <c r="H262" i="1"/>
  <c r="J262" i="1" s="1"/>
  <c r="H261" i="1"/>
  <c r="J261" i="1" s="1"/>
  <c r="H260" i="1"/>
  <c r="J260" i="1" s="1"/>
  <c r="H259" i="1"/>
  <c r="J259" i="1" s="1"/>
  <c r="H258" i="1"/>
  <c r="J258" i="1" s="1"/>
  <c r="H257" i="1"/>
  <c r="J257" i="1" s="1"/>
  <c r="H256" i="1"/>
  <c r="J256" i="1" s="1"/>
  <c r="H255" i="1"/>
  <c r="J255" i="1" s="1"/>
  <c r="H254" i="1"/>
  <c r="J254" i="1" s="1"/>
  <c r="H253" i="1"/>
  <c r="J253" i="1" s="1"/>
  <c r="H252" i="1"/>
  <c r="J252" i="1" s="1"/>
  <c r="H251" i="1"/>
  <c r="J251" i="1" s="1"/>
  <c r="H250" i="1"/>
  <c r="J250" i="1" s="1"/>
  <c r="H249" i="1"/>
  <c r="J249" i="1" s="1"/>
  <c r="H248" i="1"/>
  <c r="J248" i="1" s="1"/>
  <c r="H247" i="1"/>
  <c r="J247" i="1" s="1"/>
  <c r="H246" i="1"/>
  <c r="J246" i="1" s="1"/>
  <c r="H245" i="1"/>
  <c r="J245" i="1" s="1"/>
  <c r="H244" i="1"/>
  <c r="J244" i="1" s="1"/>
  <c r="H243" i="1"/>
  <c r="J243" i="1" s="1"/>
  <c r="H242" i="1"/>
  <c r="J242" i="1" s="1"/>
  <c r="H241" i="1"/>
  <c r="J241" i="1" s="1"/>
  <c r="H240" i="1"/>
  <c r="J240" i="1" s="1"/>
  <c r="H239" i="1"/>
  <c r="J239" i="1" s="1"/>
  <c r="H238" i="1"/>
  <c r="J238" i="1" s="1"/>
  <c r="H237" i="1"/>
  <c r="J237" i="1" s="1"/>
  <c r="H236" i="1"/>
  <c r="J236" i="1" s="1"/>
  <c r="H235" i="1"/>
  <c r="J235" i="1" s="1"/>
  <c r="H234" i="1"/>
  <c r="J234" i="1" s="1"/>
  <c r="H233" i="1"/>
  <c r="J233" i="1" s="1"/>
  <c r="H232" i="1"/>
  <c r="J232" i="1" s="1"/>
  <c r="H231" i="1"/>
  <c r="J231" i="1" s="1"/>
  <c r="H230" i="1"/>
  <c r="J230" i="1" s="1"/>
  <c r="H229" i="1"/>
  <c r="J229" i="1" s="1"/>
  <c r="H228" i="1"/>
  <c r="J228" i="1" s="1"/>
  <c r="H227" i="1"/>
  <c r="J227" i="1" s="1"/>
  <c r="H226" i="1"/>
  <c r="J226" i="1" s="1"/>
  <c r="H225" i="1"/>
  <c r="J225" i="1" s="1"/>
  <c r="H224" i="1"/>
  <c r="J224" i="1" s="1"/>
  <c r="H223" i="1"/>
  <c r="J223" i="1" s="1"/>
  <c r="H222" i="1"/>
  <c r="J222" i="1" s="1"/>
  <c r="H221" i="1"/>
  <c r="J221" i="1" s="1"/>
  <c r="H220" i="1"/>
  <c r="J220" i="1" s="1"/>
  <c r="H219" i="1"/>
  <c r="J219" i="1" s="1"/>
  <c r="H218" i="1"/>
  <c r="J218" i="1" s="1"/>
  <c r="H217" i="1"/>
  <c r="J217" i="1" s="1"/>
  <c r="H216" i="1"/>
  <c r="J216" i="1" s="1"/>
  <c r="H215" i="1"/>
  <c r="J215" i="1" s="1"/>
  <c r="H214" i="1"/>
  <c r="J214" i="1" s="1"/>
  <c r="H213" i="1"/>
  <c r="J213" i="1" s="1"/>
  <c r="H212" i="1"/>
  <c r="J212" i="1" s="1"/>
  <c r="H211" i="1"/>
  <c r="J211" i="1" s="1"/>
  <c r="H210" i="1"/>
  <c r="J210" i="1" s="1"/>
  <c r="H209" i="1"/>
  <c r="J209" i="1" s="1"/>
  <c r="H208" i="1"/>
  <c r="J208" i="1" s="1"/>
  <c r="H207" i="1"/>
  <c r="J207" i="1" s="1"/>
  <c r="H206" i="1"/>
  <c r="J206" i="1" s="1"/>
  <c r="H205" i="1"/>
  <c r="J205" i="1" s="1"/>
  <c r="H204" i="1"/>
  <c r="J204" i="1" s="1"/>
  <c r="H203" i="1"/>
  <c r="J203" i="1" s="1"/>
  <c r="H202" i="1"/>
  <c r="J202" i="1" s="1"/>
  <c r="H201" i="1"/>
  <c r="J201" i="1" s="1"/>
  <c r="H200" i="1"/>
  <c r="J200" i="1" s="1"/>
  <c r="H199" i="1"/>
  <c r="J199" i="1" s="1"/>
  <c r="H198" i="1"/>
  <c r="J198" i="1" s="1"/>
  <c r="H197" i="1"/>
  <c r="J197" i="1" s="1"/>
  <c r="H196" i="1"/>
  <c r="J196" i="1" s="1"/>
  <c r="H195" i="1"/>
  <c r="J195" i="1" s="1"/>
  <c r="H194" i="1"/>
  <c r="J194" i="1" s="1"/>
  <c r="H193" i="1"/>
  <c r="J193" i="1" s="1"/>
  <c r="H192" i="1"/>
  <c r="J192" i="1" s="1"/>
  <c r="H191" i="1"/>
  <c r="J191" i="1" s="1"/>
  <c r="H190" i="1"/>
  <c r="J190" i="1" s="1"/>
  <c r="H189" i="1"/>
  <c r="J189" i="1" s="1"/>
  <c r="H188" i="1"/>
  <c r="J188" i="1" s="1"/>
  <c r="H187" i="1"/>
  <c r="J187" i="1" s="1"/>
  <c r="H186" i="1"/>
  <c r="J186" i="1" s="1"/>
  <c r="H185" i="1"/>
  <c r="J185" i="1" s="1"/>
  <c r="H184" i="1"/>
  <c r="J184" i="1" s="1"/>
  <c r="H183" i="1"/>
  <c r="J183" i="1" s="1"/>
  <c r="H182" i="1"/>
  <c r="J182" i="1" s="1"/>
  <c r="H181" i="1"/>
  <c r="J181" i="1" s="1"/>
  <c r="H180" i="1"/>
  <c r="J180" i="1" s="1"/>
  <c r="H179" i="1"/>
  <c r="J179" i="1" s="1"/>
  <c r="H178" i="1"/>
  <c r="J178" i="1" s="1"/>
  <c r="H177" i="1"/>
  <c r="J177" i="1" s="1"/>
  <c r="H176" i="1"/>
  <c r="J176" i="1" s="1"/>
  <c r="H175" i="1"/>
  <c r="J175" i="1" s="1"/>
  <c r="H174" i="1"/>
  <c r="J174" i="1" s="1"/>
  <c r="H173" i="1"/>
  <c r="J173" i="1" s="1"/>
  <c r="H172" i="1"/>
  <c r="J172" i="1" s="1"/>
  <c r="H171" i="1"/>
  <c r="J171" i="1" s="1"/>
  <c r="H170" i="1"/>
  <c r="J170" i="1" s="1"/>
  <c r="H169" i="1"/>
  <c r="J169" i="1" s="1"/>
  <c r="H168" i="1"/>
  <c r="J168" i="1" s="1"/>
  <c r="H167" i="1"/>
  <c r="J167" i="1" s="1"/>
  <c r="H166" i="1"/>
  <c r="J166" i="1" s="1"/>
  <c r="H165" i="1"/>
  <c r="J165" i="1" s="1"/>
  <c r="H164" i="1"/>
  <c r="J164" i="1" s="1"/>
  <c r="H163" i="1"/>
  <c r="J163" i="1" s="1"/>
  <c r="H162" i="1"/>
  <c r="J162" i="1" s="1"/>
  <c r="H161" i="1"/>
  <c r="J161" i="1" s="1"/>
  <c r="H160" i="1"/>
  <c r="J160" i="1" s="1"/>
  <c r="H159" i="1"/>
  <c r="J159" i="1" s="1"/>
  <c r="H158" i="1"/>
  <c r="J158" i="1" s="1"/>
  <c r="H157" i="1"/>
  <c r="J157" i="1" s="1"/>
  <c r="H156" i="1"/>
  <c r="J156" i="1" s="1"/>
  <c r="H155" i="1"/>
  <c r="J155" i="1" s="1"/>
  <c r="H154" i="1"/>
  <c r="J154" i="1" s="1"/>
  <c r="H153" i="1"/>
  <c r="J153" i="1" s="1"/>
  <c r="H152" i="1"/>
  <c r="J152" i="1" s="1"/>
  <c r="H151" i="1"/>
  <c r="J151" i="1" s="1"/>
  <c r="H150" i="1"/>
  <c r="J150" i="1" s="1"/>
  <c r="H149" i="1"/>
  <c r="J149" i="1" s="1"/>
  <c r="H148" i="1"/>
  <c r="J148" i="1" s="1"/>
  <c r="H147" i="1"/>
  <c r="J147" i="1" s="1"/>
  <c r="H146" i="1"/>
  <c r="J146" i="1" s="1"/>
  <c r="H145" i="1"/>
  <c r="J145" i="1" s="1"/>
  <c r="H144" i="1"/>
  <c r="J144" i="1" s="1"/>
  <c r="H143" i="1"/>
  <c r="J143" i="1" s="1"/>
  <c r="H142" i="1"/>
  <c r="J142" i="1" s="1"/>
  <c r="H141" i="1"/>
  <c r="J141" i="1" s="1"/>
  <c r="H140" i="1"/>
  <c r="J140" i="1" s="1"/>
  <c r="H139" i="1"/>
  <c r="J139" i="1" s="1"/>
  <c r="H138" i="1"/>
  <c r="J138" i="1" s="1"/>
  <c r="H137" i="1"/>
  <c r="J137" i="1" s="1"/>
  <c r="H136" i="1"/>
  <c r="J136" i="1" s="1"/>
  <c r="H135" i="1"/>
  <c r="J135" i="1" s="1"/>
  <c r="H134" i="1"/>
  <c r="J134" i="1" s="1"/>
  <c r="H133" i="1"/>
  <c r="J133" i="1" s="1"/>
  <c r="H132" i="1"/>
  <c r="J132" i="1" s="1"/>
  <c r="H131" i="1"/>
  <c r="J131" i="1" s="1"/>
  <c r="H130" i="1"/>
  <c r="J130" i="1" s="1"/>
  <c r="H129" i="1"/>
  <c r="J129" i="1" s="1"/>
  <c r="H128" i="1"/>
  <c r="J128" i="1" s="1"/>
  <c r="H127" i="1"/>
  <c r="J127" i="1" s="1"/>
  <c r="H126" i="1"/>
  <c r="J126" i="1" s="1"/>
  <c r="H125" i="1"/>
  <c r="J125" i="1" s="1"/>
  <c r="H124" i="1"/>
  <c r="J124" i="1" s="1"/>
  <c r="H123" i="1"/>
  <c r="J123" i="1" s="1"/>
  <c r="H122" i="1"/>
  <c r="J122" i="1" s="1"/>
  <c r="H121" i="1"/>
  <c r="J121" i="1" s="1"/>
  <c r="H120" i="1"/>
  <c r="J120" i="1" s="1"/>
  <c r="H119" i="1"/>
  <c r="J119" i="1" s="1"/>
  <c r="H118" i="1"/>
  <c r="J118" i="1" s="1"/>
  <c r="H117" i="1"/>
  <c r="J117" i="1" s="1"/>
  <c r="H116" i="1"/>
  <c r="J116" i="1" s="1"/>
  <c r="H115" i="1"/>
  <c r="J115" i="1" s="1"/>
  <c r="H114" i="1"/>
  <c r="J114" i="1" s="1"/>
  <c r="H113" i="1"/>
  <c r="J113" i="1" s="1"/>
  <c r="H112" i="1"/>
  <c r="J112" i="1" s="1"/>
  <c r="H111" i="1"/>
  <c r="J111" i="1" s="1"/>
  <c r="H110" i="1"/>
  <c r="J110" i="1" s="1"/>
  <c r="H109" i="1"/>
  <c r="J109" i="1" s="1"/>
  <c r="H108" i="1"/>
  <c r="J108" i="1" s="1"/>
  <c r="H107" i="1"/>
  <c r="J107" i="1" s="1"/>
  <c r="H106" i="1"/>
  <c r="J106" i="1" s="1"/>
  <c r="H105" i="1"/>
  <c r="J105" i="1" s="1"/>
  <c r="H104" i="1"/>
  <c r="J104" i="1" s="1"/>
  <c r="H103" i="1"/>
  <c r="J103" i="1" s="1"/>
  <c r="H102" i="1"/>
  <c r="J102" i="1" s="1"/>
  <c r="H101" i="1"/>
  <c r="J101" i="1" s="1"/>
  <c r="H100" i="1"/>
  <c r="J100" i="1" s="1"/>
  <c r="H99" i="1"/>
  <c r="J99" i="1" s="1"/>
  <c r="H98" i="1"/>
  <c r="J98" i="1" s="1"/>
  <c r="H97" i="1"/>
  <c r="J97" i="1" s="1"/>
  <c r="H96" i="1"/>
  <c r="J96" i="1" s="1"/>
  <c r="H95" i="1"/>
  <c r="J95" i="1" s="1"/>
  <c r="H94" i="1"/>
  <c r="J94" i="1" s="1"/>
  <c r="H93" i="1"/>
  <c r="J93" i="1" s="1"/>
  <c r="H92" i="1"/>
  <c r="J92" i="1" s="1"/>
  <c r="H91" i="1"/>
  <c r="J91" i="1" s="1"/>
  <c r="H90" i="1"/>
  <c r="J90" i="1" s="1"/>
  <c r="H89" i="1"/>
  <c r="J89" i="1" s="1"/>
  <c r="H88" i="1"/>
  <c r="J88" i="1" s="1"/>
  <c r="H87" i="1"/>
  <c r="J87" i="1" s="1"/>
  <c r="H86" i="1"/>
  <c r="J86" i="1" s="1"/>
  <c r="H85" i="1"/>
  <c r="J85" i="1" s="1"/>
  <c r="H84" i="1"/>
  <c r="J84" i="1" s="1"/>
  <c r="H83" i="1"/>
  <c r="J83" i="1" s="1"/>
  <c r="H82" i="1"/>
  <c r="J82" i="1" s="1"/>
  <c r="H81" i="1"/>
  <c r="J81" i="1" s="1"/>
  <c r="H80" i="1"/>
  <c r="J80" i="1" s="1"/>
  <c r="H79" i="1"/>
  <c r="J79" i="1" s="1"/>
  <c r="H78" i="1"/>
  <c r="J78" i="1" s="1"/>
  <c r="H77" i="1"/>
  <c r="J77" i="1" s="1"/>
  <c r="H76" i="1"/>
  <c r="J76" i="1" s="1"/>
  <c r="H75" i="1"/>
  <c r="J75" i="1" s="1"/>
  <c r="H74" i="1"/>
  <c r="J74" i="1" s="1"/>
  <c r="H73" i="1"/>
  <c r="J73" i="1" s="1"/>
  <c r="H72" i="1"/>
  <c r="J72" i="1" s="1"/>
  <c r="H71" i="1"/>
  <c r="J71" i="1" s="1"/>
  <c r="H70" i="1"/>
  <c r="J70" i="1" s="1"/>
  <c r="H69" i="1"/>
  <c r="J69" i="1" s="1"/>
  <c r="H68" i="1"/>
  <c r="J68" i="1" s="1"/>
  <c r="H67" i="1"/>
  <c r="J67" i="1" s="1"/>
  <c r="H66" i="1"/>
  <c r="J66" i="1" s="1"/>
  <c r="H65" i="1"/>
  <c r="J65" i="1" s="1"/>
  <c r="H64" i="1"/>
  <c r="J64" i="1" s="1"/>
  <c r="H63" i="1"/>
  <c r="J63" i="1" s="1"/>
  <c r="H62" i="1"/>
  <c r="J62" i="1" s="1"/>
  <c r="H61" i="1"/>
  <c r="J61" i="1" s="1"/>
  <c r="H60" i="1"/>
  <c r="J60" i="1" s="1"/>
  <c r="H59" i="1"/>
  <c r="J59" i="1" s="1"/>
  <c r="H58" i="1"/>
  <c r="J58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H51" i="1"/>
  <c r="J51" i="1" s="1"/>
  <c r="H50" i="1"/>
  <c r="J50" i="1" s="1"/>
  <c r="H49" i="1"/>
  <c r="J49" i="1" s="1"/>
  <c r="H48" i="1"/>
  <c r="J48" i="1" s="1"/>
  <c r="H47" i="1"/>
  <c r="J47" i="1" s="1"/>
  <c r="H46" i="1"/>
  <c r="J46" i="1" s="1"/>
  <c r="H45" i="1"/>
  <c r="J45" i="1" s="1"/>
  <c r="H44" i="1"/>
  <c r="J44" i="1" s="1"/>
  <c r="H43" i="1"/>
  <c r="J43" i="1" s="1"/>
  <c r="H42" i="1"/>
  <c r="J42" i="1" s="1"/>
  <c r="H41" i="1"/>
  <c r="J41" i="1" s="1"/>
  <c r="H40" i="1"/>
  <c r="J40" i="1" s="1"/>
  <c r="H39" i="1"/>
  <c r="J39" i="1" s="1"/>
  <c r="H38" i="1"/>
  <c r="J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3" i="1"/>
  <c r="J23" i="1" s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</calcChain>
</file>

<file path=xl/sharedStrings.xml><?xml version="1.0" encoding="utf-8"?>
<sst xmlns="http://schemas.openxmlformats.org/spreadsheetml/2006/main" count="1160" uniqueCount="339">
  <si>
    <r>
      <t xml:space="preserve">ATL MAINLINE - </t>
    </r>
    <r>
      <rPr>
        <b/>
        <sz val="11"/>
        <color rgb="FF0070C0"/>
        <rFont val="Arial"/>
        <family val="2"/>
      </rPr>
      <t>USAGE APRIL 2024 - MARCH 2025</t>
    </r>
  </si>
  <si>
    <t>Vertical</t>
  </si>
  <si>
    <t>Vertical Name</t>
  </si>
  <si>
    <t>Spec Number</t>
  </si>
  <si>
    <t>Spec Description</t>
  </si>
  <si>
    <t>Annual Usage</t>
  </si>
  <si>
    <t>Comments</t>
  </si>
  <si>
    <t>Product Price</t>
  </si>
  <si>
    <t>Product Mark Up</t>
  </si>
  <si>
    <t>Labor Price</t>
  </si>
  <si>
    <t>Total Price</t>
  </si>
  <si>
    <t>Annual Total Cost</t>
  </si>
  <si>
    <t>1A</t>
  </si>
  <si>
    <t>FOOD PRODUCT AND PREP</t>
  </si>
  <si>
    <t>ENT, CC/WC, PP, SWISS AND ROASTED TOMATO OMELET W/ HOLLANDAISE, SEASONED POTATOES AND ITALIAN CHICKEN SAUSAGE, CY2/4, EGGS</t>
  </si>
  <si>
    <t>ENT, CC, PP, EGG AND FIRE ROASTED CORN ENCHILADA W/ SRIRACHA PINEAPPLE CHICKEN SAUSAGE AND BLACK BEANS, CY2, EGGS</t>
  </si>
  <si>
    <t>ENT, WC/CC, PP, THREE CHEESE AU GRATIN OMELET, VEGETARIAN, EGGS</t>
  </si>
  <si>
    <t>ENT, FC/CC, PP, CHARCUTERIE PLATE, BREAKFAST, LARGE BOWL, PORK</t>
  </si>
  <si>
    <t>ENT, FC/CC, PP, FRESH FRUIT PLATE, CANTALOUPE, PINEAPPLE, HONEY DEW, BLUEBERRIES, STRAWBERRIES, LARGE BOWL, I, FRUT</t>
  </si>
  <si>
    <t>ENT, FC/CC, PP, FRESH FRUIT PLATE, CANTALOUPE, PINEAPPLE, HONEY DEW, BLUEBERRIES, STRAWBERRIES, LARGE BOWL, II, FRUT</t>
  </si>
  <si>
    <t>ENT, FC/CC, FRUIT AND CHEESE, DOM, CHES</t>
  </si>
  <si>
    <t>ENT, CC, EGGS, ASPARAGUS, LEEK AND MUSHROOM FRITTATA, HONEY ROASTED SWEET POTATOES, TOMATOES, IN CASSEROLE, ALTF</t>
  </si>
  <si>
    <t>ENT, FC/CC, PP, COLD PLATE, VEGETABLES AND GRAINS, IN LARGE BOWL, FALL/WINTER, PRE-ORDER ONLY, ALTG</t>
  </si>
  <si>
    <t>ENT, FC/CC, PP, GOLDEN ROASTED CHICKEN, TOMATO CHUTNEY, YUKON SMASHED POTATOES, HARICOT VERT, LEMON, IN CASSEROLE, PRE-ORDER ONLY, ALTE</t>
  </si>
  <si>
    <t>ENT, FC/CC, PP/BP, COLD PLATE, VEGETABLES AND GRAINS, LARGE BOWL, SPRING/SUMMER, ALTG</t>
  </si>
  <si>
    <t>ENT, FC/CC, CHICKEN BREAST, SHAWARMA SEASONED, TUMERIC RICE, LABNEH, IN CASSEROLE, CHCK</t>
  </si>
  <si>
    <t>ENT, FC/CC, CHICKEN BREAST, W/MOJO SAUCE, POBLANO BLACK BEAN RICE AND PLANTAINS, IN CASSEROLE, CHCK</t>
  </si>
  <si>
    <t>ENT, FC/CC, CHICKEN, PARMESAN WITH STROZZAPRETI PASTA W/CACIO E PEPE AND MARINARA SAUCE, IN CASSEROLE, CHCK</t>
  </si>
  <si>
    <t>ENT, FC/CC, PASTA, SACCHETTI CHEESE, W/GARLIC CREAM SAUCE AND MARINARA SAUCE, LG BOWL, PSTA</t>
  </si>
  <si>
    <t>ENT, FC/CC, STUFFED PEPPER, GREEN RICE AND CILANTRO CREMA, LG BOWL, VGTB</t>
  </si>
  <si>
    <t>ENT, FC/CC, PASTA, PENNE WITH PLANT BASED MEAT RAGU AND RICOTTA, LG BOWL, PSTA</t>
  </si>
  <si>
    <t>ENT, FC/CC, ENCHILADA, VEGETABLE, W/RED RICE AND GREEN CHILI SAUCE, LG BOWL, VGTB</t>
  </si>
  <si>
    <t>ENT, FC/CC, SHORT RIB W/CLASSIC MAC &amp; CHEESE AND ESPAGNOLE SAUCE, PRE-ORDER ONLY, BEEF</t>
  </si>
  <si>
    <t>ENT, FC/CC, ENCHILADAS, CHICKEN, W/RICE AND RED CHILE SAUCE, IN CASSEROLE, CHCK</t>
  </si>
  <si>
    <t>ENT, FC/CC, PP, SMOKED SALMON, SLICED EGGS, CUCUMBER, TOMATO, ARUGULA, RED ONION AND CAPERS, LARGE BOWL, SEAF</t>
  </si>
  <si>
    <t>ENT, FC/CC, PP, COLD PLATE, VEGETABLES AND GRAINS, W/SALMON, IN BO701, DOM SH/MH, PRE-ORDER ONLY, ALTG</t>
  </si>
  <si>
    <t>ENT, CC, PP, EGGS, MONTEREY JACK CHEESE OMELET, WHITE CHEDDAR CHEESE SAUCE, RED BELL PEPPER TOPPING, CHICKEN SAUSAGE LINK AND SEASONED WEDGE POTATOES, IN CASSEROLE, EGGS</t>
  </si>
  <si>
    <t>ENT, CC, PP, EGGS, SPINACH, RED PEPPERS AND CHEESE FRITTATA W WHITE CHEDDAR SAUCE, EVERYTHING SEASONED WEDGE POTATOES, ROASTED TOMATOES, IN CASSEROLE, EGGS</t>
  </si>
  <si>
    <t>ENT, FRUIT AND CHEESE PLATE, FD4SALE, POFC</t>
  </si>
  <si>
    <t>labor paid 72011</t>
  </si>
  <si>
    <t>FFS SNACKS, YC, STANDARD SNACK DRAWER, SHELF STABLE, II</t>
  </si>
  <si>
    <t>LABOR PAID IN 83710/PRODUCT IS AA</t>
  </si>
  <si>
    <t>TSU, CC, DOM, BRK, HOT, EGGS, MH</t>
  </si>
  <si>
    <t>LABOR PAID IN TSC</t>
  </si>
  <si>
    <t>TSU, CC, DOM, BRK, COLD PLATE, PROTEIN, MH</t>
  </si>
  <si>
    <t>TSU, CC, DOM, BRK, COLD PLATE, FRUIT, MH/LH</t>
  </si>
  <si>
    <t>TSU, CC, DOM, BRK, COLD PLATE, SMOKED SALMON AND BAGEL, MH</t>
  </si>
  <si>
    <t>TSU, CC, DOM, L/D, W/PROTEIN APP, MH</t>
  </si>
  <si>
    <t>TSU, CC, DOM, L/D, W/VEGETARIAN APP, MH</t>
  </si>
  <si>
    <t>TSU, FC/CC, DOM SH BRK, VEG, CY 1/3</t>
  </si>
  <si>
    <t>TSU, FC/CC, PROTEIN BRK, DOM SH, CY1</t>
  </si>
  <si>
    <t>TSU, FC/CC, PROTEIN BRK, DOM SH, CY4</t>
  </si>
  <si>
    <t>TSU, FC/CC, CONTINENTAL FRUIT BRK, DOM SH, CY 2/4</t>
  </si>
  <si>
    <t>TSU, XX, LUN/DIN, LH, W/APP &amp; SAL IN SM BOWLS</t>
  </si>
  <si>
    <t>TSU, XX, LUN/DIN, LH, W/VEGETARIAN APP &amp; SAL IN SM BOWLS</t>
  </si>
  <si>
    <t>TSU, CC, DOM, L/D, JBF GOLDEN CHICKEN, MH</t>
  </si>
  <si>
    <t>TSU, CC, DOM, BRK, HOT, EGGS, APPETIZER, MH, PRE-ORDER ONLY</t>
  </si>
  <si>
    <t>TSU, CC, DOM, L/D, JBF VEGETABLES AND GRAINS, MH</t>
  </si>
  <si>
    <t>TSU, FC/CC, PROTEIN BRK, DOM SH, CY2</t>
  </si>
  <si>
    <t>TSU, FC/CC, PROTEIN BRK, DOM SH, CY3</t>
  </si>
  <si>
    <t>MISC, FC/CC, BP, BUTTER, GRASSLAND, 1 EA, UP TO 16 IN A BAG</t>
  </si>
  <si>
    <t>GARN, GARNISH, LIQ/BEV, 5 LEMON / 5 LIME IN PLASTIC CUP AND LID</t>
  </si>
  <si>
    <t>MISC, FC/CC, BP, PRESERVES, STRAWBERRY, BONNE MAMAN, 0.5 OZ STICK, 20030, UP TO 16 EA IN A BAG</t>
  </si>
  <si>
    <t>MISC, CONDIMENT, BP, HONEY, STICK, .5 OZ, PC, UP TO 16 EA IN A BAG</t>
  </si>
  <si>
    <t>MISC, MIXED NUTS, BP</t>
  </si>
  <si>
    <t>GARN, FC, BP, CHEESE, COTIJA, CRUMBLED</t>
  </si>
  <si>
    <t>MILK, 2% ASEPTIC, 8 FLOZ, BULK</t>
  </si>
  <si>
    <t>AA PRODUCT/;ABOR PAID IN DRAWER PK</t>
  </si>
  <si>
    <t>BRD, FC/CC, BP, BISCUIT, SOUTHERN STYLE, WARM ON BOARD, 1 EA, UP TO 6 EA IN A BAG</t>
  </si>
  <si>
    <t>MISC, YC, BP, PRETZEL, MINI, KING NUT, .75OZ, BAG OF 25 EA, SNACKS</t>
  </si>
  <si>
    <t>GARN, PP/BP, GARNISH, PARSLEY, CHOPPED, IN SOLO CUP</t>
  </si>
  <si>
    <t>BRD, FC/CC, BP, BAGELS, PLAIN, 1 EA, 3 OZ/84 G, FOR BAGEL ENTREE, UP TO 8 IN A BAG</t>
  </si>
  <si>
    <t>BRD, CINNAMON ROLLS, BP, 1.5 OZ, 1 EA, UP TO 6 IN A BAG</t>
  </si>
  <si>
    <t>BRD, BP, CROISSANTS, 1.5 OZ, UPSCALE, 1 EA, UP TO 6 PER BAG</t>
  </si>
  <si>
    <t>MISC, PHILADELPHIA, CREAM CHEESE, .75 OZ CUP, 1 EA</t>
  </si>
  <si>
    <t>MISC, YOGURT, GREEK VANILLA, SQUAT CUP, 4 OZ, CHOBANI, IN SM BOWL</t>
  </si>
  <si>
    <t>MISC, CRACKERS, OLIVE OIL AND SEA SALT FLAT BREAD, .7 OZ/20 GR, IND PKG</t>
  </si>
  <si>
    <t>DES, CANDY, GHIRARDELLI, 60 % INTENSE DARK CHOCOLATE, SQUARE</t>
  </si>
  <si>
    <t>MISC, BUTTER, GRASSLAND, FOIL WRAPPED, 1 EA</t>
  </si>
  <si>
    <t>SNACKS, FC/CC, SNACK BASKET, AM, SHELF STABLE</t>
  </si>
  <si>
    <t>MISC, FC/CC, PP/BP, FRUIT &amp; CHEESE, SM BOWL, CY1</t>
  </si>
  <si>
    <t>MISC, FC/CC, PP/BP, FRUIT &amp; CHEESE, SM BOWL, CY2</t>
  </si>
  <si>
    <t>MISC, FC/CC, PP/BP, FRUIT &amp; CHEESE, SM BOWL, CY3</t>
  </si>
  <si>
    <t>MISC, FC/CC, PP/BP, FRUIT &amp; CHEESE, SM BOWL, CY4</t>
  </si>
  <si>
    <t>MISC, BP, SALMON, GRILLED, FOR GRAINS BOWL, EA</t>
  </si>
  <si>
    <t>MISC, BUTTER, GRASSLAND, FOIL WRAPPED, 1 EA, II</t>
  </si>
  <si>
    <t>DES, DES, CANDY, GHIRARDELLI, 60 % INTENSE DARK CHOCOLATE, SQUARE II</t>
  </si>
  <si>
    <t>MISC, BUTTER, GRASSLAND, FOIL WRAPPED, 1 EA, III</t>
  </si>
  <si>
    <t>BRD, FC/CC, BREAD ROLLS, BP, KING'S ROLL, CAMPO ROLL, MULTIGRAIN OVAL,  ROLLS, PREBAGGED, 6/BAG</t>
  </si>
  <si>
    <t>MISC, SNACK, WHOLE WHEAT FIG BAR, 1 OZ, IND PKG, NATURE'S BAKERY</t>
  </si>
  <si>
    <t>MISC, GRANOLA, VANILLA, 1 OZ, IND PKG, RED PLATE FOODS</t>
  </si>
  <si>
    <t>MISC, BAGEL, PLAIN, MINI, PRESLICED, IW, 2 0Z</t>
  </si>
  <si>
    <t>MISC, FC, BP, GRANOLA COOKIE BAKES, BLUEBERRY POMEGRANATE, 1OZ, COOPER STREET, IND PKG, SHELF STABLE, SNACKS</t>
  </si>
  <si>
    <t>APP, CC, CANTALOUPE, HONEYDEW, PINEAPPLE, BLUEBERRIES, STRAWBERRIES, CY1, APPETIZER</t>
  </si>
  <si>
    <t>APP, CC, CANTALOUPE, HONEYDEW, PINEAPPLE, BLUEBERRIES, STRAWBERRIES, CY3, APPETIZER</t>
  </si>
  <si>
    <t>APP, CC, ORANGES, HONEYDEW, PINEAPPLE, BLUEBERRIES, STRAWBERRIES, CY2, APPETIZER</t>
  </si>
  <si>
    <t>APP, CC, ORANGES, HONEYDEW, PINEAPPLE, BLUEBERRIES, STRAWBERRIES, CY4, APPETIZER</t>
  </si>
  <si>
    <t>APP, CC, CANTALOUPE, HONEYDEW, PINEAPPLE, BLUEBERRIES, STRAWBERRIES, CY1, II, APPETIZER</t>
  </si>
  <si>
    <t>APP, CC, CANTALOUPE, HONEYDEW, PINEAPPLE, BLUEBERRIES, STRAWBERRIES, CY3, II, APPETIZER</t>
  </si>
  <si>
    <t>MISC, FC, BP, CRACKERS, OLIVE OIL AND SEA SALT FLAT BREAD, RUSTIC BAKERY , FOR FRUIT/CHEESE BOWL AND BAR SVC</t>
  </si>
  <si>
    <t>DES, FC, BP, SORBET, RASPBERRY, IND CUP, 3.6 OZ</t>
  </si>
  <si>
    <t>DES, FC, BP, SORBET, MANGO, IND CUP, 3.6 OZ</t>
  </si>
  <si>
    <t>DES, FC, BP, ICE CREAM, DULCE DE LECHE, IND CUP, 3.6 OZ</t>
  </si>
  <si>
    <t>DES, FC, BP, ICE CREAM, VANILLA CHOCOLATE CHIP, IND CUP, 3.6 OZ</t>
  </si>
  <si>
    <t>BRD, FC/CC, PP, BREADS, LOAF BREAD, LEMON BERRY CHIA, PREWRAPPED</t>
  </si>
  <si>
    <t>BRD, FC/CC, PP, BREADS, BANANA WALNUT LOAF BREAD, PREWRAPPED</t>
  </si>
  <si>
    <t>BRD, FC/CC, SCONE, ORANGE CRANBERRY, BREAKFAST BREADS, 2 EA</t>
  </si>
  <si>
    <t>MISC, FC, BP, CRACKERS, OLIVE OIL AND SEA SALT FLAT BREAD, RUSTIC BAKERY, UP TO 8/BAG</t>
  </si>
  <si>
    <t>SAL, WC, SALAD, MIXED GREENS AND ROASTED RED BELL PEPPER, SM BOWL, CY 1/3</t>
  </si>
  <si>
    <t>SAL, FC/CC/WC, SALAD, MIXED GREENS AND ROASTED RED BELL PEPPER, SM BOWL, II</t>
  </si>
  <si>
    <t>SAL, WC, SALAD, MIXED GREENS AND ROASTED RED TOMATOES, SM BOWL, CY 2/4</t>
  </si>
  <si>
    <t>SAL, FC/CC/WC, SALAD, MIXED GREENS AND ROASTED RED TOMATOES, SM BOWL, II</t>
  </si>
  <si>
    <t>MISC, DRESSING, VIBI OLIVE OIL &amp; BALSAMIC, 10 ML, SACHET</t>
  </si>
  <si>
    <t>MISC, DRESSING, VIBI OLIVE OIL &amp; BALSAMIC, 10 ML, SACHET, II</t>
  </si>
  <si>
    <t>MISC, OLIVE OIL AND SEA SALT FLATBREAD, CRACKER, PREORDER ONLY</t>
  </si>
  <si>
    <t>MISC, FC/CC, BP, CHICKEN HERB PROVENCE, 2 CUT, EA</t>
  </si>
  <si>
    <t>MISC, OLIVE OIL AND SEA SALT FLATBREAD, CRACKER, PREORDER ONLY II</t>
  </si>
  <si>
    <t>APP, FC/CC, APPETIZER, MH, DIP DUO WITH CRUDITE, IN CASSEROLE</t>
  </si>
  <si>
    <t>APP, FC/CC, APPETIZER, MH, DIP DUO WITH CRUDITE, IN CASSEROLE, II</t>
  </si>
  <si>
    <t>MISC, BUTTER, GRASSLAND, FOIL WRAPPED, 1 EA, IV</t>
  </si>
  <si>
    <t>MISC, OLIVE OIL AND SEA SALT FLATBREAD, CRACKER, II</t>
  </si>
  <si>
    <t>APP, FC/CC, APPETIZER, MH, FRUIT AND BERRIES, CASSEROLE/RAMEKIN, CY1</t>
  </si>
  <si>
    <t>APP, FC/CC, APPETIZER, MH, FRUIT AND BERRIES, CASSEROLE/RAMEKIN, CY1, II</t>
  </si>
  <si>
    <t>MISC, FC/CC, APPETIZER, MH, YOGURT, GREEK VANILLA, SQUAT CUP, AND GRANOLA, CASSEROLE/RAMEKIN</t>
  </si>
  <si>
    <t>APP, FC/CC, APPETIZER, MH, FRUIT AND BERRIES, CASSEROLE/RAMEKIN, CY2</t>
  </si>
  <si>
    <t>APP, FC/CC, APPETIZER, MH, FRUIT AND BERRIES, CASSEROLE/RAMEKIN, CY3</t>
  </si>
  <si>
    <t>APP, FC/CC, APPETIZER, MH, FRUIT AND BERRIES, CASSEROLE/RAMEKIN, CY3, II</t>
  </si>
  <si>
    <t>APP, FC/CC, APPETIZER, MH, FRUIT AND BERRIES, CASSEROLE/RAMEKIN, CY4</t>
  </si>
  <si>
    <t>APP, FC/CC, APPETIZER, MH, FRUIT AND BERRIES, CASSEROLE/RAMEKIN, PREORDER ONLY, CY1</t>
  </si>
  <si>
    <t>APP, FC/CC, APPETIZER, MH, FRUIT AND BERRIES, CASSEROLE/RAMEKIN, PREORDER ONLY, CY2</t>
  </si>
  <si>
    <t>APP, FC/CC, APPETIZER, MH, FRUIT AND BERRIES, CASSEROLE/RAMEKIN, PREORDER ONLY, CY4</t>
  </si>
  <si>
    <t>APP, FC/CC, APPETIZER, MH, PUMPKIN HUMMUS, POMEGRANATE SEEDS, CUCUMBER SLICES, PUMPKIN SEEDS, PITA WEDGE, MIXED GREENS, IN CASSEROLE</t>
  </si>
  <si>
    <t>APP, FC/CC, APPETIZER, MH, SHRIMP AND PINEAPPLE W/SLAW, MIXED GREENS, IN CASSEROLE</t>
  </si>
  <si>
    <t>APP, FC/CC, APPETIZER, MH, MOZZARELLA W/OLIVES, RED PEPPER, ROASTED SQUASH, MIXED GREENS, IN CASSEROLE</t>
  </si>
  <si>
    <t>APP, FC/CC, APPETIZER, PUMPKIN HUMMUS, POMEGRANATE SEEDS, CUCUMBER SLICES, PEPITAS, PITA WEDGES, SM BOWL</t>
  </si>
  <si>
    <t>APP, FC/CC, APPETIZER, SHRIMP AND PINEAPPLE W/SLAW, SM BOWL</t>
  </si>
  <si>
    <t>APP, FC/CC, APPETIZER, MOZZARELLA W/OLIVES, RED PEPPER, ROASTED SQUASH, PESTO, SM BOWL</t>
  </si>
  <si>
    <t>APP, FC/CC, APPETIZER, MH, ROASTED BUTTERNUT SQUASH, GOLDEN RAISINS, OLIVES, PINE NUTS, GREEN CREMA, ARUGULA, MIXED GREENS, IN CASSEROLE</t>
  </si>
  <si>
    <t>APP, FC/CC, APPETIZER, MH, EDAMAME GUACAMOLE, CUCUMBERS, PICKLED ONION, LEMON AIOLI, MIXED GREENS, IN CASSEROLE</t>
  </si>
  <si>
    <t>APP, FC/CC, APPETIZER, MH, MOZZARELLA BALLS WITH FIG, APRICOT AND TAPENADE, MIXED GREENS, IN CASSEROLE</t>
  </si>
  <si>
    <t>APP, FC/CC, APPETIZER, MH, STREET CORN WITH CHIPOTLE CREMA, MIXED GREENS, IN CASSEROLE</t>
  </si>
  <si>
    <t>APP, FC/CC, APPETIZER, ROASTED BUTTERNUT SQUASH, GOLDEN RAISINS, OLIVES, PINE NUTS, GREEN CREMA, ARUGULA, SM BOWL</t>
  </si>
  <si>
    <t>APP, FC/CC, APPETIZER, EDAMAME GUACAMOLE, CUCUMBERS, PICKLED ONION, LEMON AIOLI, SM BOWL</t>
  </si>
  <si>
    <t>APP, FC/CC, APPETIZER, MOZZARELLA BALLS WITH FIG, APRICOT AND TAPENADE, SM BOWL</t>
  </si>
  <si>
    <t>APP, FC/CC, APPETIZER, STREET CORN WITH CHIPOTLE CREMA, SM BOWL</t>
  </si>
  <si>
    <t>APP, FC/CC, APPETIZER, THREE BEAN SALAD, SM BOWL</t>
  </si>
  <si>
    <t>APP, FC/CC, APPETIZER, MH, THREE BEAN SALAD, MIXED GREENS, IN CASSEROLE</t>
  </si>
  <si>
    <t>APP, FC/CC, APPETIZER, ROASTED CORN AND CUCUMBER SALAD, SM BOWL</t>
  </si>
  <si>
    <t>APP, FC/CC, APPETIZER, MH, ROASTED CORN AND CUCUMBER SALAD, MIXED GREENS, IN CASSEROLE</t>
  </si>
  <si>
    <t>APP, FC/CC, APPETIZER, MH, ANTIPASTO, MIXED GREENS, VEGETARIAN, IN CASSEROLE W/RAMEKIN</t>
  </si>
  <si>
    <t>APP, FC/CC, APPETIZER, ANTIPASTO, VEGETARIAN, BO700</t>
  </si>
  <si>
    <t>1B</t>
  </si>
  <si>
    <t>OTHER PRODUCT</t>
  </si>
  <si>
    <t>BEV, DOM/INT'L, BEVERAGE DRAWER, (AM/PM)</t>
  </si>
  <si>
    <t>BEV DR, JUICE/MIXERS, AM/PM, FC/CC/YC BEVERAGE DRAWER</t>
  </si>
  <si>
    <t>BEV, ORANGE JUICE TETRA BRIK, QT/LTR, 1EA</t>
  </si>
  <si>
    <t>BEV, APPLE JUICE, TETRA BRIK, QT/LTR, 1 EA</t>
  </si>
  <si>
    <t>BEV, WATER, 33.81 OZ/1.0 L, 1 EA</t>
  </si>
  <si>
    <t>BEV, WATER, COCKPIT, 1.057 QT/1 L</t>
  </si>
  <si>
    <t>MISC, BEV ACCOMPANIMENT, BISCOFF, 2 PACK, 18 PACK SLEEVE, COOKIE</t>
  </si>
  <si>
    <t>BEV, SPECIALTY DRAWER, 12 CAN DRAWER</t>
  </si>
  <si>
    <t>ICE, DRY, FOR CARTS, 2 LB/0.908 KG</t>
  </si>
  <si>
    <t>ICE, FC, DRY, FOR FROZEN DESSERT, 1 LB/0.454 KG</t>
  </si>
  <si>
    <t>ICE, WET, FOR BEER TUBS, 5 LB BAG</t>
  </si>
  <si>
    <t>ICE, WET, IN DRAWER, 5 LB</t>
  </si>
  <si>
    <t>ICE, WET/DRY, 10 LB</t>
  </si>
  <si>
    <t>2A/3A/4A</t>
  </si>
  <si>
    <t>PRODUCT RECEIVING</t>
  </si>
  <si>
    <t>RCV, CC, DOM, Receiving Charge</t>
  </si>
  <si>
    <t>RCV, YC, DOM, Receiving Charge</t>
  </si>
  <si>
    <t>2B</t>
  </si>
  <si>
    <t>PLATING &amp; PORTIONING</t>
  </si>
  <si>
    <t>PLT, APP, PP, DOMCC/INTLWC</t>
  </si>
  <si>
    <t>PLT, SAL, PP, DOMCC/INTLWC</t>
  </si>
  <si>
    <t>PLT, ENT, PP, DOMCC/INTLWC</t>
  </si>
  <si>
    <t>PLT, ENT, BP, DOMCC/INTLWC</t>
  </si>
  <si>
    <t>PLT, DES, PP, DOMCC/INTLWC</t>
  </si>
  <si>
    <t>PLT, GARN, PP, DOMCC/INTLWC</t>
  </si>
  <si>
    <t>PLT, ICE CREAM, BP/PC, ALLCOS/</t>
  </si>
  <si>
    <t>PLT, MISC PP, PP/BP, ALLCOS/</t>
  </si>
  <si>
    <t>PLT, MISC BP, BP, ALLCOS/</t>
  </si>
  <si>
    <t>2C</t>
  </si>
  <si>
    <t>TRAY SET-UP</t>
  </si>
  <si>
    <t>TSC, TSU PLUS 9</t>
  </si>
  <si>
    <t>TSC, TSU PLUS 10</t>
  </si>
  <si>
    <t>TSC, TSU PLUS 11</t>
  </si>
  <si>
    <t>2D</t>
  </si>
  <si>
    <t>FFS PACKAGING</t>
  </si>
  <si>
    <t>FFL, FRUIT&amp;CHEESE PLATE, 7-12 COMPS</t>
  </si>
  <si>
    <t>3B</t>
  </si>
  <si>
    <t>DRAWER PACKING</t>
  </si>
  <si>
    <t>EDL, STD, 2-20</t>
  </si>
  <si>
    <t>EDL, STD, 41-60</t>
  </si>
  <si>
    <t>FDL, SHELF STB, 20-35</t>
  </si>
  <si>
    <t>FDL, SHELF STB, 1-9</t>
  </si>
  <si>
    <t>BDL, CANS/SM BOTTLES, 8-12</t>
  </si>
  <si>
    <t>BDL, CANS/SM BOTTLES, 13-20</t>
  </si>
  <si>
    <t>BDL, ORIGINATOR LIQ RE-PACKING NON-LIQ PACKING FAC ONLY, CC</t>
  </si>
  <si>
    <t>BDL, ORIGINATOR LIQ RE-PACKING NON-LIQ PACKING FAC ONLY, WC/YC</t>
  </si>
  <si>
    <t>4B</t>
  </si>
  <si>
    <t>CLASS I WASH</t>
  </si>
  <si>
    <t>WSHI, CLASS I, A319, CC, NO MEAL</t>
  </si>
  <si>
    <t>WSHI, CLASS I, A319, YC, NO MEAL</t>
  </si>
  <si>
    <t>WSHI, CLASS I, A320, CC, MEAL</t>
  </si>
  <si>
    <t>WSHI, CLASS I, A320, YC, NO MEAL</t>
  </si>
  <si>
    <t>WSHI, CLASS I, A321, CC, NO MEAL</t>
  </si>
  <si>
    <t>WSHI, CLASS I, A321, CC, MEAL</t>
  </si>
  <si>
    <t>WSHI, CLASS I, A321, YC, NO MEAL</t>
  </si>
  <si>
    <t>WSHI, CLASS I, B737MAX, CC, NO MEAL</t>
  </si>
  <si>
    <t>WSHI, CLASS I, B737MAX, CC, MEAL</t>
  </si>
  <si>
    <t>WSHI, CLASS I, B737MAX, YC, NO MEAL</t>
  </si>
  <si>
    <t>ORIG, ADDITIONAL TERM EQUIP WASHING NB/MB</t>
  </si>
  <si>
    <t>4C</t>
  </si>
  <si>
    <t>CLASS II WASH</t>
  </si>
  <si>
    <t>WSHII, CLASS II, A319, CC, NO MEAL</t>
  </si>
  <si>
    <t>WSHII, CLASS II, A319, YC, NO MEAL</t>
  </si>
  <si>
    <t>WSHII, CLASS II, A320, CC, 1 MEAL</t>
  </si>
  <si>
    <t>WSHII, CLASS II, A320, YC, NO MEAL</t>
  </si>
  <si>
    <t>WSHII, CLASS II, A321, CC, 1 MEAL</t>
  </si>
  <si>
    <t>WSHII, CLASS II, A321, CC, NO MEAL</t>
  </si>
  <si>
    <t>WSHII, CLASS II, A321, YC, NO MEAL</t>
  </si>
  <si>
    <t>WSHII, CLASS II, B737MAX, CC, 1 MEAL</t>
  </si>
  <si>
    <t>WSHII, CLASS II, B737MAX, CC, NO MEAL</t>
  </si>
  <si>
    <t>WSHII, CLASS II, B737MAX, YC, NO MEAL</t>
  </si>
  <si>
    <t>4D</t>
  </si>
  <si>
    <t>TRASH DISPOSAL</t>
  </si>
  <si>
    <t>TSH, DOM DISPOSAL, A319, CC</t>
  </si>
  <si>
    <t>TSH, DOM DISPOSAL, A319, YC</t>
  </si>
  <si>
    <t>TSH, DOM DISPOSAL, A320, CC</t>
  </si>
  <si>
    <t>TSH, DOM DISPOSAL, A320, YC</t>
  </si>
  <si>
    <t>TSH, DOM DISPOSAL, A321, CC</t>
  </si>
  <si>
    <t>TSH, DOM DISPOSAL, A321, YC</t>
  </si>
  <si>
    <t>TSH, DOM DISPOSAL, B737MAX, CC</t>
  </si>
  <si>
    <t>TSH, DOM DISPOSAL, B737MAX, YC</t>
  </si>
  <si>
    <t>4E</t>
  </si>
  <si>
    <t>EQUIP PREPARATION</t>
  </si>
  <si>
    <t>EPC, FILL CART TOPPER, , EA</t>
  </si>
  <si>
    <t>EPC, ROLL-UP, 4 PIECE, EA</t>
  </si>
  <si>
    <t>EPC, ROLL-UP, BAND, EA</t>
  </si>
  <si>
    <t>5A</t>
  </si>
  <si>
    <t>CART PACKING</t>
  </si>
  <si>
    <t>CPK, A320, CC, 1 MEAL</t>
  </si>
  <si>
    <t>CPK, A321, CC, 1 MEAL</t>
  </si>
  <si>
    <t>CPK, B737MAX, CC, 1 MEAL</t>
  </si>
  <si>
    <t>CPK, B737MAX, YC, NO MEAL - FFS ONLY</t>
  </si>
  <si>
    <t>CPK, A321, YC, NO MEAL - FFS ONLY</t>
  </si>
  <si>
    <t>CPK, A320, YC, NO MEAL - FFS ONLY</t>
  </si>
  <si>
    <t>CPK, B737MAX, YC, NO MEAL - NO FFS</t>
  </si>
  <si>
    <t>CPK, A321, YC, NO MEAL - NO FFS</t>
  </si>
  <si>
    <t>CPK, A319, YC, NO MEAL - NO FFS</t>
  </si>
  <si>
    <t>CPK, B737MAX, CC, NO MEAL</t>
  </si>
  <si>
    <t>CPK, A321, CC, NO MEAL</t>
  </si>
  <si>
    <t>CPK, A319, CC, NO MEAL</t>
  </si>
  <si>
    <t>5B</t>
  </si>
  <si>
    <t>STAGING</t>
  </si>
  <si>
    <t>STG, A319, CC, BASE FEE, PER FLIGHT</t>
  </si>
  <si>
    <t>STG, A320, CC, BASE FEE, PER FLIGHT</t>
  </si>
  <si>
    <t>STG, B737/S80, CC, BASE FEE, PER FLIGHT</t>
  </si>
  <si>
    <t>STG, A319, YC, BASE FEE, PER FLIGHT</t>
  </si>
  <si>
    <t>STG, A320, YC, BASE FEE, PER FLIGHT</t>
  </si>
  <si>
    <t>STG, A321, YC, BASE FEE, PER FLIGHT</t>
  </si>
  <si>
    <t>STG, B737/S80, YC, BASE FEE, PER FLIGHT</t>
  </si>
  <si>
    <t>STG, A321, CC, BASE FEE, PER FLIGHT</t>
  </si>
  <si>
    <t>STG, MEAL ORDERING SERVICE, PER FLIGHT FEE, DOM</t>
  </si>
  <si>
    <t>6A</t>
  </si>
  <si>
    <t>LAST MILE</t>
  </si>
  <si>
    <t>TRANS, A319, CC, DELIVERY, PER UPLIFT</t>
  </si>
  <si>
    <t>TRANS, A320, CC, DELIVERY, PER UPLIFT</t>
  </si>
  <si>
    <t>TRANS, A321, CC, DELIVERY, PER UPLIFT</t>
  </si>
  <si>
    <t>TRANS, B737MAX, CC, DELIVERY, PER UPLIFT</t>
  </si>
  <si>
    <t>TRANS, A319, YC, DELIVERY, PER UPLIFT</t>
  </si>
  <si>
    <t>TRANS, A320, YC, DELIVERY, PER UPLIFT</t>
  </si>
  <si>
    <t>TRANS, A321, YC, DELIVERY, PER UPLIFT</t>
  </si>
  <si>
    <t>TRANS, B737MAX, YC, DELIVERY, PER UPLIFT</t>
  </si>
  <si>
    <t>ORIG, ORIGINATOR ADDITIONAL LOAD SERVICES SCHEDULED</t>
  </si>
  <si>
    <t>EQ, PLATE LIFTER, 1 EA</t>
  </si>
  <si>
    <t>PRICE IS ZERO</t>
  </si>
  <si>
    <t>EQ, THERMAL COFFEE SERVER AND LID</t>
  </si>
  <si>
    <t>EQ, FC/CC, WASTE CONTAINER, 737, 73CO196, 1 EA</t>
  </si>
  <si>
    <t>EQ, FC/CC, WASTE CONTAINER, 737, 73CO197, 1 EA</t>
  </si>
  <si>
    <t>EQ, YC, WASTE CONTAINER, 737, 73CO198, 1 EA</t>
  </si>
  <si>
    <t>EQ, YC, WASTE CONTAINER, 737, 73CO199, 1 EA</t>
  </si>
  <si>
    <t>EQ, TRAY, LARGE, MAT-LINED , TRAY,</t>
  </si>
  <si>
    <t>EQ, TRAY, MEDIUM, MAT-LINED, TRAY,</t>
  </si>
  <si>
    <t>EQ, DRAWER ATLAS, 75DR800, 1 EA DRAWERS, AA OWNED</t>
  </si>
  <si>
    <t>EQ, ATLAS, TRAY, MEAL, FULL, PLASTIC, MULT, AA OWNED TRAYS,</t>
  </si>
  <si>
    <t>EQ,ATLAS, TRAY, MEAL, 2/3, PLASTIC, MULT, AA OWNED TRAYS,</t>
  </si>
  <si>
    <t>EQ, FULL CART, ATLAS, CAR7580, 1 EA</t>
  </si>
  <si>
    <t>EQ, HALF CART, ATLAS, CAR7581, 1 EA</t>
  </si>
  <si>
    <t>EQ, AIRBUS G1/G5 GALLEY METAL CONTAINER, 75CO800, FULL WASTE, 1 EA</t>
  </si>
  <si>
    <t>EQ, FC/CC/YC, COFFEE POT, FOR BREWING, 73SE033, 1 EA</t>
  </si>
  <si>
    <t>EQ, CARRIER, ATLAS, 75CA850, DRAWER, 1EA</t>
  </si>
  <si>
    <t>EQ, SECURITY SEALS - BLACK</t>
  </si>
  <si>
    <t>EQ, GLASS, ROCKS, 73RG300, 12 EA, MULTI PURPOSE RACK</t>
  </si>
  <si>
    <t>EQ, MUG, COFFEE/CUPP, 73MU700, 12 EA, RACK AA MULTI PURPOSE MUG,</t>
  </si>
  <si>
    <t>EQ, GLASS, STEMLESS WINE, 73WG900, 12 EA, RACK AA MULTI PURPOSE RACK, GLASSES,</t>
  </si>
  <si>
    <t>EQ, BOWL, SMALL, 73BO700, 1EA, BOWL,</t>
  </si>
  <si>
    <t>EQ, RAMEKIN, 73RA700, 1EA, RAMEKIN,</t>
  </si>
  <si>
    <t>EQ, WASTE, CART, FULL, AA/US, ATLAS</t>
  </si>
  <si>
    <t>EQ, HOT PAD, CLOTH, 73HP050, BULK EQUIP, 1 EA</t>
  </si>
  <si>
    <t>EQ, WASTE, CART, HALF, AA/US, ATLAS</t>
  </si>
  <si>
    <t>EQ, CART TOPPER</t>
  </si>
  <si>
    <t>EQ, FC/CC/YC, DOMESTIC SUPPLY DRAWER</t>
  </si>
  <si>
    <t>EQ, FC/CC, ATLAS STANDARD UTENSIL DRAWER</t>
  </si>
  <si>
    <t>EQ, PLASTIC, GLASS, 44 PER/SLEEVE, 11.5 OZ PLASTIC GLASSES, EQUIPMENT</t>
  </si>
  <si>
    <t>EQ, EQUIPMENT, PAPER, CUP 15/SLEEVE, 8 OZ DISP COFFEE CUP</t>
  </si>
  <si>
    <t>EQ, ATLAS OVEN INSERT WITH 8 OVEN RACKS</t>
  </si>
  <si>
    <t>ice and trash only</t>
  </si>
  <si>
    <t>6B</t>
  </si>
  <si>
    <t>OTHER TRANSPORTATION</t>
  </si>
  <si>
    <t>SVC, SCHEDULED TRASH REMOVAL / ICE TOP-OFF, CC, DOM</t>
  </si>
  <si>
    <t>SVC, SCHEDULED TRASH REMOVAL / ICE TOP-OFF, YC, DOM</t>
  </si>
  <si>
    <t>TRANS, UNSCHEDULED VAN</t>
  </si>
  <si>
    <t>KSML, ENT/TSU, FC/CC, BRK, HOT, LFS-US</t>
  </si>
  <si>
    <t>KSML, ENT/TSU, CC, L-D, DOM, FROZEN</t>
  </si>
  <si>
    <t>AVML/HNML/MOML, ENT/TSU, CC, L-D, DOM, KIT, SH</t>
  </si>
  <si>
    <t>VGML, ENT/TSU, CC, L-D, DOM, KIT, SH</t>
  </si>
  <si>
    <t>DBML, ENT/TSU, CC, L-D, DOM, KIT, SH</t>
  </si>
  <si>
    <t>GFML, ENT/TSU, CC, L-D, DOM, KIT, SH</t>
  </si>
  <si>
    <t>AVML/HNML/MOML, ENT/TSU, CC, L-D, DOM, KIT, MH/LH</t>
  </si>
  <si>
    <t>VGML, ENT/TSU, CC, L-D, DOM, KIT, MH/LH</t>
  </si>
  <si>
    <t>DBML, ENT/TSU, CC, L-D, DOM, KIT, MH/LH</t>
  </si>
  <si>
    <t>GFML, ENT/TSU, CC, L-D, DOM, KIT, MH/LH</t>
  </si>
  <si>
    <t>GFML, ENT/TSU, CC, BRK/BRN, NON-HUB TEST, DOM SH</t>
  </si>
  <si>
    <t>AVML/HNML/MOML, ENT/TSU, CC, BRK/BRN, NON-HUB TEST, DOM MH</t>
  </si>
  <si>
    <t>VGML, ENT/TSU, CC, BRK/BRN, NON-HUB TEST, DOM MH</t>
  </si>
  <si>
    <t>DBML, ENT/TSU, CC, BRK/BRN, NON-HUB TEST, DOM MH</t>
  </si>
  <si>
    <t>GFML, ENT/TSU, CC, BRK/BRN, NON-HUB TEST, DOM MH</t>
  </si>
  <si>
    <t>KSML, ENT/TSU, FC/CC, DOM, HOT L-D</t>
  </si>
  <si>
    <t>Annualized Cost</t>
  </si>
  <si>
    <t>TOTAL</t>
  </si>
  <si>
    <t>LABOR</t>
  </si>
  <si>
    <t>MATCH</t>
  </si>
  <si>
    <t>FACILITY</t>
  </si>
  <si>
    <t>C1</t>
  </si>
  <si>
    <t>C9</t>
  </si>
  <si>
    <t>EFF.DATE</t>
  </si>
  <si>
    <t>UPLOAD DATE</t>
  </si>
  <si>
    <t>SAME CODE DIFFERENT FACILITY, NO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</si>
</sst>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0.000"/>
    <numFmt numFmtId="167" formatCode="m/d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rgb="FF0070C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44" fontId="5" fillId="2" borderId="0" xfId="1" applyFont="1" applyFill="1" applyAlignment="1">
      <alignment horizontal="left" vertical="center" wrapText="1"/>
    </xf>
    <xf numFmtId="44" fontId="5" fillId="2" borderId="0" xfId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44" fontId="4" fillId="0" borderId="0" xfId="1" applyFont="1"/>
    <xf numFmtId="44" fontId="4" fillId="0" borderId="0" xfId="1" applyFont="1" applyFill="1" applyBorder="1"/>
    <xf numFmtId="44" fontId="4" fillId="0" borderId="0" xfId="1" applyFont="1" applyBorder="1"/>
    <xf numFmtId="44" fontId="4" fillId="3" borderId="0" xfId="1" applyFont="1" applyFill="1"/>
    <xf numFmtId="44" fontId="4" fillId="3" borderId="0" xfId="1" applyFont="1" applyFill="1" applyBorder="1"/>
    <xf numFmtId="0" fontId="4" fillId="0" borderId="1" xfId="0" applyFont="1" applyBorder="1"/>
    <xf numFmtId="44" fontId="4" fillId="0" borderId="1" xfId="1" applyFont="1" applyBorder="1"/>
    <xf numFmtId="44" fontId="4" fillId="0" borderId="1" xfId="1" applyFont="1" applyFill="1" applyBorder="1"/>
    <xf numFmtId="0" fontId="5" fillId="4" borderId="0" xfId="0" applyFont="1" applyFill="1"/>
    <xf numFmtId="44" fontId="5" fillId="4" borderId="0" xfId="0" applyNumberFormat="1" applyFont="1" applyFill="1"/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0" fillId="5" borderId="2" xfId="0" applyFill="1" applyBorder="1"/>
    <xf numFmtId="0" fontId="0" fillId="6" borderId="0" xfId="0" applyFill="1"/>
    <xf numFmtId="0" fontId="0" fillId="7" borderId="2" xfId="0" applyFill="1" applyBorder="1"/>
    <xf numFmtId="164" fontId="5" fillId="2" borderId="2" xfId="0" applyNumberFormat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4" fillId="0" borderId="2" xfId="1" applyNumberFormat="1" applyFont="1" applyFill="1" applyBorder="1"/>
    <xf numFmtId="164" fontId="4" fillId="3" borderId="2" xfId="1" applyNumberFormat="1" applyFont="1" applyFill="1" applyBorder="1"/>
    <xf numFmtId="164" fontId="0" fillId="6" borderId="0" xfId="0" applyNumberFormat="1" applyFill="1"/>
    <xf numFmtId="164" fontId="0" fillId="0" borderId="0" xfId="0" applyNumberFormat="1"/>
    <xf numFmtId="165" fontId="0" fillId="0" borderId="0" xfId="0" applyNumberFormat="1"/>
    <xf numFmtId="165" fontId="0" fillId="6" borderId="0" xfId="0" applyNumberFormat="1" applyFill="1"/>
    <xf numFmtId="0" fontId="6" fillId="0" borderId="0" xfId="0" applyFont="1"/>
    <xf numFmtId="0" fontId="4" fillId="8" borderId="2" xfId="0" applyFont="1" applyFill="1" applyBorder="1"/>
    <xf numFmtId="164" fontId="4" fillId="8" borderId="2" xfId="1" applyNumberFormat="1" applyFont="1" applyFill="1" applyBorder="1"/>
    <xf numFmtId="164" fontId="4" fillId="0" borderId="3" xfId="1" applyNumberFormat="1" applyFont="1" applyBorder="1"/>
    <xf numFmtId="164" fontId="4" fillId="3" borderId="3" xfId="1" applyNumberFormat="1" applyFont="1" applyFill="1" applyBorder="1"/>
    <xf numFmtId="164" fontId="4" fillId="8" borderId="3" xfId="1" applyNumberFormat="1" applyFont="1" applyFill="1" applyBorder="1"/>
    <xf numFmtId="164" fontId="7" fillId="11" borderId="2" xfId="1" applyNumberFormat="1" applyFont="1" applyFill="1" applyBorder="1" applyAlignment="1">
      <alignment horizontal="center" vertical="center" wrapText="1"/>
    </xf>
    <xf numFmtId="14" fontId="4" fillId="9" borderId="2" xfId="1" applyNumberFormat="1" applyFont="1" applyFill="1" applyBorder="1"/>
    <xf numFmtId="44" fontId="4" fillId="8" borderId="0" xfId="1" applyFont="1" applyFill="1"/>
    <xf numFmtId="164" fontId="4" fillId="0" borderId="3" xfId="1" applyNumberFormat="1" applyFont="1" applyFill="1" applyBorder="1"/>
    <xf numFmtId="167" fontId="7" fillId="11" borderId="2" xfId="1" applyNumberFormat="1" applyFont="1" applyFill="1" applyBorder="1" applyAlignment="1">
      <alignment horizontal="center" vertical="center" wrapText="1"/>
    </xf>
    <xf numFmtId="167" fontId="4" fillId="10" borderId="2" xfId="1" applyNumberFormat="1" applyFont="1" applyFill="1" applyBorder="1"/>
    <xf numFmtId="167" fontId="0" fillId="6" borderId="0" xfId="0" applyNumberFormat="1" applyFill="1"/>
    <xf numFmtId="167" fontId="0" fillId="0" borderId="0" xfId="0" applyNumberForma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51C0-711E-44D3-A5F5-5F8D9389A73A}">
  <dimension ref="A1:L285"/>
  <sheetViews>
    <sheetView tabSelected="1" zoomScale="115" zoomScaleNormal="115" workbookViewId="0">
      <selection activeCell="B2" sqref="B2"/>
    </sheetView>
  </sheetViews>
  <sheetFormatPr defaultRowHeight="14.4" x14ac:dyDescent="0.3"/>
  <cols>
    <col min="1" max="1" width="12.33203125" customWidth="1"/>
    <col min="2" max="2" width="12.109375" customWidth="1"/>
    <col min="3" max="4" width="12.109375" style="28" customWidth="1"/>
    <col min="5" max="5" width="14" style="28" bestFit="1" customWidth="1"/>
    <col min="6" max="6" width="12.109375" style="44" customWidth="1"/>
    <col min="8" max="9" width="9.109375" style="29"/>
  </cols>
  <sheetData>
    <row r="1" spans="1:11" ht="27.6" x14ac:dyDescent="0.3">
      <c r="A1" s="18" t="s">
        <v>333</v>
      </c>
      <c r="B1" s="18" t="s">
        <v>10</v>
      </c>
      <c r="C1" s="23" t="s">
        <v>10</v>
      </c>
      <c r="D1" s="24" t="s">
        <v>9</v>
      </c>
      <c r="E1" s="37" t="s">
        <v>336</v>
      </c>
      <c r="F1" s="41" t="s">
        <v>337</v>
      </c>
      <c r="H1" s="29" t="s">
        <v>330</v>
      </c>
      <c r="I1" s="29" t="s">
        <v>331</v>
      </c>
      <c r="J1" t="s">
        <v>332</v>
      </c>
      <c r="K1" t="s">
        <v>332</v>
      </c>
    </row>
    <row r="2" spans="1:11" x14ac:dyDescent="0.3">
      <c r="A2" s="20" t="s">
        <v>334</v>
      </c>
      <c r="B2" s="19">
        <v>82608</v>
      </c>
      <c r="C2" s="25">
        <v>3.4607999999999999</v>
      </c>
      <c r="D2" s="34">
        <v>0</v>
      </c>
      <c r="E2" s="38">
        <v>46120</v>
      </c>
      <c r="F2" s="42">
        <v>46121</v>
      </c>
      <c r="H2" s="29">
        <f>VLOOKUP(B2,ATL!C:K,8,0)</f>
        <v>3.4607999999999999</v>
      </c>
      <c r="I2" s="29">
        <f>VLOOKUP(B2,ATL!C:K,7,0)</f>
        <v>0</v>
      </c>
      <c r="J2" t="b">
        <f>C2=H2</f>
        <v>1</v>
      </c>
      <c r="K2" t="b">
        <f>D2=I2</f>
        <v>1</v>
      </c>
    </row>
    <row r="3" spans="1:11" x14ac:dyDescent="0.3">
      <c r="A3" s="20" t="s">
        <v>334</v>
      </c>
      <c r="B3" s="19">
        <v>82610</v>
      </c>
      <c r="C3" s="25">
        <v>3.1807999999999996</v>
      </c>
      <c r="D3" s="34">
        <v>0</v>
      </c>
      <c r="E3" s="38">
        <v>46120</v>
      </c>
      <c r="F3" s="42">
        <v>46121</v>
      </c>
      <c r="H3" s="29">
        <f>VLOOKUP(B3,ATL!C:K,8,0)</f>
        <v>3.1807999999999996</v>
      </c>
      <c r="I3" s="29">
        <f>VLOOKUP(B3,ATL!C:K,7,0)</f>
        <v>0</v>
      </c>
      <c r="J3" t="b">
        <f t="shared" ref="J3:J66" si="0">C3=H3</f>
        <v>1</v>
      </c>
      <c r="K3" t="b">
        <f t="shared" ref="K3:K66" si="1">D3=I3</f>
        <v>1</v>
      </c>
    </row>
    <row r="4" spans="1:11" x14ac:dyDescent="0.3">
      <c r="A4" s="20" t="s">
        <v>334</v>
      </c>
      <c r="B4" s="19">
        <v>87833</v>
      </c>
      <c r="C4" s="25">
        <v>2.8895999999999997</v>
      </c>
      <c r="D4" s="34">
        <v>0</v>
      </c>
      <c r="E4" s="38">
        <v>46120</v>
      </c>
      <c r="F4" s="42">
        <v>46121</v>
      </c>
      <c r="H4" s="29">
        <f>VLOOKUP(B4,ATL!C:K,8,0)</f>
        <v>2.8895999999999997</v>
      </c>
      <c r="I4" s="29">
        <f>VLOOKUP(B4,ATL!C:K,7,0)</f>
        <v>0</v>
      </c>
      <c r="J4" t="b">
        <f t="shared" si="0"/>
        <v>1</v>
      </c>
      <c r="K4" t="b">
        <f t="shared" si="1"/>
        <v>1</v>
      </c>
    </row>
    <row r="5" spans="1:11" x14ac:dyDescent="0.3">
      <c r="A5" s="20" t="s">
        <v>334</v>
      </c>
      <c r="B5" s="19">
        <v>87990</v>
      </c>
      <c r="C5" s="25">
        <v>4.4206485104897189</v>
      </c>
      <c r="D5" s="34">
        <v>1.1499999999999997</v>
      </c>
      <c r="E5" s="38">
        <v>46120</v>
      </c>
      <c r="F5" s="42">
        <v>46121</v>
      </c>
      <c r="H5" s="29">
        <f>VLOOKUP(B5,ATL!C:K,8,0)</f>
        <v>4.4206485104897189</v>
      </c>
      <c r="I5" s="29">
        <f>VLOOKUP(B5,ATL!C:K,7,0)</f>
        <v>1.1499999999999997</v>
      </c>
      <c r="J5" t="b">
        <f t="shared" si="0"/>
        <v>1</v>
      </c>
      <c r="K5" t="b">
        <f t="shared" si="1"/>
        <v>1</v>
      </c>
    </row>
    <row r="6" spans="1:11" x14ac:dyDescent="0.3">
      <c r="A6" s="20" t="s">
        <v>334</v>
      </c>
      <c r="B6" s="19">
        <v>87991</v>
      </c>
      <c r="C6" s="25">
        <v>2.0126813629232378</v>
      </c>
      <c r="D6" s="34">
        <v>0.69</v>
      </c>
      <c r="E6" s="38">
        <v>46120</v>
      </c>
      <c r="F6" s="42">
        <v>46121</v>
      </c>
      <c r="H6" s="29">
        <f>VLOOKUP(B6,ATL!C:K,8,0)</f>
        <v>2.0126813629232378</v>
      </c>
      <c r="I6" s="29">
        <f>VLOOKUP(B6,ATL!C:K,7,0)</f>
        <v>0.69</v>
      </c>
      <c r="J6" t="b">
        <f t="shared" si="0"/>
        <v>1</v>
      </c>
      <c r="K6" t="b">
        <f t="shared" si="1"/>
        <v>1</v>
      </c>
    </row>
    <row r="7" spans="1:11" x14ac:dyDescent="0.3">
      <c r="A7" s="20" t="s">
        <v>334</v>
      </c>
      <c r="B7" s="19">
        <v>87992</v>
      </c>
      <c r="C7" s="25">
        <v>2.0126813629232378</v>
      </c>
      <c r="D7" s="34">
        <v>0.69</v>
      </c>
      <c r="E7" s="38">
        <v>46120</v>
      </c>
      <c r="F7" s="42">
        <v>46121</v>
      </c>
      <c r="H7" s="29">
        <f>VLOOKUP(B7,ATL!C:K,8,0)</f>
        <v>2.0126813629232378</v>
      </c>
      <c r="I7" s="29">
        <f>VLOOKUP(B7,ATL!C:K,7,0)</f>
        <v>0.69</v>
      </c>
      <c r="J7" t="b">
        <f t="shared" si="0"/>
        <v>1</v>
      </c>
      <c r="K7" t="b">
        <f t="shared" si="1"/>
        <v>1</v>
      </c>
    </row>
    <row r="8" spans="1:11" x14ac:dyDescent="0.3">
      <c r="A8" s="20" t="s">
        <v>334</v>
      </c>
      <c r="B8" s="19">
        <v>88303</v>
      </c>
      <c r="C8" s="25">
        <v>4.2791810971547894</v>
      </c>
      <c r="D8" s="34">
        <v>1.1499999999999997</v>
      </c>
      <c r="E8" s="38">
        <v>46120</v>
      </c>
      <c r="F8" s="42">
        <v>46121</v>
      </c>
      <c r="H8" s="29">
        <f>VLOOKUP(B8,ATL!C:K,8,0)</f>
        <v>4.2791810971547894</v>
      </c>
      <c r="I8" s="29">
        <f>VLOOKUP(B8,ATL!C:K,7,0)</f>
        <v>1.1499999999999997</v>
      </c>
      <c r="J8" t="b">
        <f t="shared" si="0"/>
        <v>1</v>
      </c>
      <c r="K8" t="b">
        <f t="shared" si="1"/>
        <v>1</v>
      </c>
    </row>
    <row r="9" spans="1:11" x14ac:dyDescent="0.3">
      <c r="A9" s="20" t="s">
        <v>334</v>
      </c>
      <c r="B9" s="19">
        <v>89766</v>
      </c>
      <c r="C9" s="25">
        <v>4.6134482851294676</v>
      </c>
      <c r="D9" s="34">
        <v>0.80499999999999994</v>
      </c>
      <c r="E9" s="38">
        <v>46120</v>
      </c>
      <c r="F9" s="42">
        <v>46121</v>
      </c>
      <c r="H9" s="29">
        <f>VLOOKUP(B9,ATL!C:K,8,0)</f>
        <v>4.6134482851294676</v>
      </c>
      <c r="I9" s="29">
        <f>VLOOKUP(B9,ATL!C:K,7,0)</f>
        <v>0.80499999999999994</v>
      </c>
      <c r="J9" t="b">
        <f t="shared" si="0"/>
        <v>1</v>
      </c>
      <c r="K9" t="b">
        <f t="shared" si="1"/>
        <v>1</v>
      </c>
    </row>
    <row r="10" spans="1:11" x14ac:dyDescent="0.3">
      <c r="A10" s="20" t="s">
        <v>334</v>
      </c>
      <c r="B10" s="19">
        <v>89773</v>
      </c>
      <c r="C10" s="25">
        <v>4.1142559181699827</v>
      </c>
      <c r="D10" s="34">
        <v>1.38</v>
      </c>
      <c r="E10" s="38">
        <v>46120</v>
      </c>
      <c r="F10" s="42">
        <v>46121</v>
      </c>
      <c r="H10" s="29">
        <f>VLOOKUP(B10,ATL!C:K,8,0)</f>
        <v>4.1142559181699827</v>
      </c>
      <c r="I10" s="29">
        <f>VLOOKUP(B10,ATL!C:K,7,0)</f>
        <v>1.38</v>
      </c>
      <c r="J10" t="b">
        <f t="shared" si="0"/>
        <v>1</v>
      </c>
      <c r="K10" t="b">
        <f t="shared" si="1"/>
        <v>1</v>
      </c>
    </row>
    <row r="11" spans="1:11" x14ac:dyDescent="0.3">
      <c r="A11" s="20" t="s">
        <v>334</v>
      </c>
      <c r="B11" s="19">
        <v>89779</v>
      </c>
      <c r="C11" s="25">
        <v>4.6763594465459173</v>
      </c>
      <c r="D11" s="34">
        <v>1.0349999999999999</v>
      </c>
      <c r="E11" s="38">
        <v>46120</v>
      </c>
      <c r="F11" s="42">
        <v>46121</v>
      </c>
      <c r="H11" s="29">
        <f>VLOOKUP(B11,ATL!C:K,8,0)</f>
        <v>4.6763594465459173</v>
      </c>
      <c r="I11" s="29">
        <f>VLOOKUP(B11,ATL!C:K,7,0)</f>
        <v>1.0349999999999999</v>
      </c>
      <c r="J11" t="b">
        <f t="shared" si="0"/>
        <v>1</v>
      </c>
      <c r="K11" t="b">
        <f t="shared" si="1"/>
        <v>1</v>
      </c>
    </row>
    <row r="12" spans="1:11" x14ac:dyDescent="0.3">
      <c r="A12" s="20" t="s">
        <v>334</v>
      </c>
      <c r="B12" s="19">
        <v>90009</v>
      </c>
      <c r="C12" s="25">
        <v>3.2961642239190692</v>
      </c>
      <c r="D12" s="34">
        <v>1.38</v>
      </c>
      <c r="E12" s="38">
        <v>46120</v>
      </c>
      <c r="F12" s="42">
        <v>46121</v>
      </c>
      <c r="H12" s="29">
        <f>VLOOKUP(B12,ATL!C:K,8,0)</f>
        <v>3.2961642239190692</v>
      </c>
      <c r="I12" s="29">
        <f>VLOOKUP(B12,ATL!C:K,7,0)</f>
        <v>1.38</v>
      </c>
      <c r="J12" t="b">
        <f t="shared" si="0"/>
        <v>1</v>
      </c>
      <c r="K12" t="b">
        <f t="shared" si="1"/>
        <v>1</v>
      </c>
    </row>
    <row r="13" spans="1:11" x14ac:dyDescent="0.3">
      <c r="A13" s="20" t="s">
        <v>334</v>
      </c>
      <c r="B13" s="19">
        <v>90593</v>
      </c>
      <c r="C13" s="25">
        <v>5.8053184</v>
      </c>
      <c r="D13" s="34">
        <v>0</v>
      </c>
      <c r="E13" s="38">
        <v>46120</v>
      </c>
      <c r="F13" s="42">
        <v>46121</v>
      </c>
      <c r="H13" s="29">
        <f>VLOOKUP(B13,ATL!C:K,8,0)</f>
        <v>5.8053184</v>
      </c>
      <c r="I13" s="29">
        <f>VLOOKUP(B13,ATL!C:K,7,0)</f>
        <v>0</v>
      </c>
      <c r="J13" t="b">
        <f t="shared" si="0"/>
        <v>1</v>
      </c>
      <c r="K13" t="b">
        <f t="shared" si="1"/>
        <v>1</v>
      </c>
    </row>
    <row r="14" spans="1:11" x14ac:dyDescent="0.3">
      <c r="A14" s="20" t="s">
        <v>334</v>
      </c>
      <c r="B14" s="19">
        <v>90595</v>
      </c>
      <c r="C14" s="25">
        <v>6.0292960000000004</v>
      </c>
      <c r="D14" s="34">
        <v>0</v>
      </c>
      <c r="E14" s="38">
        <v>46120</v>
      </c>
      <c r="F14" s="42">
        <v>46121</v>
      </c>
      <c r="H14" s="29">
        <f>VLOOKUP(B14,ATL!C:K,8,0)</f>
        <v>6.0292960000000004</v>
      </c>
      <c r="I14" s="29">
        <f>VLOOKUP(B14,ATL!C:K,7,0)</f>
        <v>0</v>
      </c>
      <c r="J14" t="b">
        <f t="shared" si="0"/>
        <v>1</v>
      </c>
      <c r="K14" t="b">
        <f t="shared" si="1"/>
        <v>1</v>
      </c>
    </row>
    <row r="15" spans="1:11" x14ac:dyDescent="0.3">
      <c r="A15" s="20" t="s">
        <v>334</v>
      </c>
      <c r="B15" s="19">
        <v>90596</v>
      </c>
      <c r="C15" s="25">
        <v>5.9953599999999998</v>
      </c>
      <c r="D15" s="34">
        <v>0</v>
      </c>
      <c r="E15" s="38">
        <v>46120</v>
      </c>
      <c r="F15" s="42">
        <v>46121</v>
      </c>
      <c r="H15" s="29">
        <f>VLOOKUP(B15,ATL!C:K,8,0)</f>
        <v>5.9953599999999998</v>
      </c>
      <c r="I15" s="29">
        <f>VLOOKUP(B15,ATL!C:K,7,0)</f>
        <v>0</v>
      </c>
      <c r="J15" t="b">
        <f t="shared" si="0"/>
        <v>1</v>
      </c>
      <c r="K15" t="b">
        <f t="shared" si="1"/>
        <v>1</v>
      </c>
    </row>
    <row r="16" spans="1:11" x14ac:dyDescent="0.3">
      <c r="A16" s="20" t="s">
        <v>334</v>
      </c>
      <c r="B16" s="19">
        <v>90605</v>
      </c>
      <c r="C16" s="25">
        <v>4.3324959999999999</v>
      </c>
      <c r="D16" s="34">
        <v>0</v>
      </c>
      <c r="E16" s="38">
        <v>46120</v>
      </c>
      <c r="F16" s="42">
        <v>46121</v>
      </c>
      <c r="H16" s="29">
        <f>VLOOKUP(B16,ATL!C:K,8,0)</f>
        <v>4.3324959999999999</v>
      </c>
      <c r="I16" s="29">
        <f>VLOOKUP(B16,ATL!C:K,7,0)</f>
        <v>0</v>
      </c>
      <c r="J16" t="b">
        <f t="shared" si="0"/>
        <v>1</v>
      </c>
      <c r="K16" t="b">
        <f t="shared" si="1"/>
        <v>1</v>
      </c>
    </row>
    <row r="17" spans="1:11" x14ac:dyDescent="0.3">
      <c r="A17" s="20" t="s">
        <v>334</v>
      </c>
      <c r="B17" s="19">
        <v>90606</v>
      </c>
      <c r="C17" s="25">
        <v>4.1854399999999998</v>
      </c>
      <c r="D17" s="34">
        <v>0</v>
      </c>
      <c r="E17" s="38">
        <v>46120</v>
      </c>
      <c r="F17" s="42">
        <v>46121</v>
      </c>
      <c r="H17" s="29">
        <f>VLOOKUP(B17,ATL!C:K,8,0)</f>
        <v>4.1854399999999998</v>
      </c>
      <c r="I17" s="29">
        <f>VLOOKUP(B17,ATL!C:K,7,0)</f>
        <v>0</v>
      </c>
      <c r="J17" t="b">
        <f t="shared" si="0"/>
        <v>1</v>
      </c>
      <c r="K17" t="b">
        <f t="shared" si="1"/>
        <v>1</v>
      </c>
    </row>
    <row r="18" spans="1:11" x14ac:dyDescent="0.3">
      <c r="A18" s="20" t="s">
        <v>334</v>
      </c>
      <c r="B18" s="19">
        <v>90607</v>
      </c>
      <c r="C18" s="25">
        <v>4.1390607999999993</v>
      </c>
      <c r="D18" s="34">
        <v>0</v>
      </c>
      <c r="E18" s="38">
        <v>46120</v>
      </c>
      <c r="F18" s="42">
        <v>46121</v>
      </c>
      <c r="H18" s="29">
        <f>VLOOKUP(B18,ATL!C:K,8,0)</f>
        <v>4.1390607999999993</v>
      </c>
      <c r="I18" s="29">
        <f>VLOOKUP(B18,ATL!C:K,7,0)</f>
        <v>0</v>
      </c>
      <c r="J18" t="b">
        <f t="shared" si="0"/>
        <v>1</v>
      </c>
      <c r="K18" t="b">
        <f t="shared" si="1"/>
        <v>1</v>
      </c>
    </row>
    <row r="19" spans="1:11" x14ac:dyDescent="0.3">
      <c r="A19" s="20" t="s">
        <v>334</v>
      </c>
      <c r="B19" s="19">
        <v>90608</v>
      </c>
      <c r="C19" s="25">
        <v>4.3903999999999996</v>
      </c>
      <c r="D19" s="34">
        <v>0</v>
      </c>
      <c r="E19" s="38">
        <v>46120</v>
      </c>
      <c r="F19" s="42">
        <v>46121</v>
      </c>
      <c r="H19" s="29">
        <f>VLOOKUP(B19,ATL!C:K,8,0)</f>
        <v>4.3903999999999996</v>
      </c>
      <c r="I19" s="29">
        <f>VLOOKUP(B19,ATL!C:K,7,0)</f>
        <v>0</v>
      </c>
      <c r="J19" t="b">
        <f t="shared" si="0"/>
        <v>1</v>
      </c>
      <c r="K19" t="b">
        <f t="shared" si="1"/>
        <v>1</v>
      </c>
    </row>
    <row r="20" spans="1:11" x14ac:dyDescent="0.3">
      <c r="A20" s="20" t="s">
        <v>334</v>
      </c>
      <c r="B20" s="19">
        <v>90640</v>
      </c>
      <c r="C20" s="25">
        <v>7.0321719999999992</v>
      </c>
      <c r="D20" s="34">
        <v>0</v>
      </c>
      <c r="E20" s="38">
        <v>46120</v>
      </c>
      <c r="F20" s="42">
        <v>46121</v>
      </c>
      <c r="H20" s="29">
        <f>VLOOKUP(B20,ATL!C:K,8,0)</f>
        <v>7.0321719999999992</v>
      </c>
      <c r="I20" s="29">
        <f>VLOOKUP(B20,ATL!C:K,7,0)</f>
        <v>0</v>
      </c>
      <c r="J20" t="b">
        <f t="shared" si="0"/>
        <v>1</v>
      </c>
      <c r="K20" t="b">
        <f t="shared" si="1"/>
        <v>1</v>
      </c>
    </row>
    <row r="21" spans="1:11" x14ac:dyDescent="0.3">
      <c r="A21" s="20" t="s">
        <v>334</v>
      </c>
      <c r="B21" s="19">
        <v>90654</v>
      </c>
      <c r="C21" s="25">
        <v>4.3664319999999996</v>
      </c>
      <c r="D21" s="34">
        <v>0</v>
      </c>
      <c r="E21" s="38">
        <v>46120</v>
      </c>
      <c r="F21" s="42">
        <v>46121</v>
      </c>
      <c r="H21" s="29">
        <f>VLOOKUP(B21,ATL!C:K,8,0)</f>
        <v>4.3664319999999996</v>
      </c>
      <c r="I21" s="29">
        <f>VLOOKUP(B21,ATL!C:K,7,0)</f>
        <v>0</v>
      </c>
      <c r="J21" t="b">
        <f t="shared" si="0"/>
        <v>1</v>
      </c>
      <c r="K21" t="b">
        <f t="shared" si="1"/>
        <v>1</v>
      </c>
    </row>
    <row r="22" spans="1:11" x14ac:dyDescent="0.3">
      <c r="A22" s="20" t="s">
        <v>334</v>
      </c>
      <c r="B22" s="19">
        <v>90678</v>
      </c>
      <c r="C22" s="25">
        <v>3.0387211775486769</v>
      </c>
      <c r="D22" s="34">
        <v>1.1499999999999997</v>
      </c>
      <c r="E22" s="38">
        <v>46120</v>
      </c>
      <c r="F22" s="42">
        <v>46121</v>
      </c>
      <c r="H22" s="29">
        <f>VLOOKUP(B22,ATL!C:K,8,0)</f>
        <v>3.0387211775486769</v>
      </c>
      <c r="I22" s="29">
        <f>VLOOKUP(B22,ATL!C:K,7,0)</f>
        <v>1.1499999999999997</v>
      </c>
      <c r="J22" t="b">
        <f t="shared" si="0"/>
        <v>1</v>
      </c>
      <c r="K22" t="b">
        <f t="shared" si="1"/>
        <v>1</v>
      </c>
    </row>
    <row r="23" spans="1:11" x14ac:dyDescent="0.3">
      <c r="A23" s="20" t="s">
        <v>334</v>
      </c>
      <c r="B23" s="19">
        <v>91678</v>
      </c>
      <c r="C23" s="25">
        <v>8.3283095514028851</v>
      </c>
      <c r="D23" s="34">
        <v>1.4949999999999997</v>
      </c>
      <c r="E23" s="38">
        <v>46120</v>
      </c>
      <c r="F23" s="42">
        <v>46121</v>
      </c>
      <c r="H23" s="29">
        <f>VLOOKUP(B23,ATL!C:K,8,0)</f>
        <v>8.3283095514028851</v>
      </c>
      <c r="I23" s="29">
        <f>VLOOKUP(B23,ATL!C:K,7,0)</f>
        <v>1.4949999999999997</v>
      </c>
      <c r="J23" t="b">
        <f t="shared" si="0"/>
        <v>1</v>
      </c>
      <c r="K23" t="b">
        <f t="shared" si="1"/>
        <v>1</v>
      </c>
    </row>
    <row r="24" spans="1:11" x14ac:dyDescent="0.3">
      <c r="A24" s="20" t="s">
        <v>334</v>
      </c>
      <c r="B24" s="19">
        <v>91884</v>
      </c>
      <c r="C24" s="25">
        <v>3.78952</v>
      </c>
      <c r="D24" s="34">
        <v>0</v>
      </c>
      <c r="E24" s="38">
        <v>46120</v>
      </c>
      <c r="F24" s="42">
        <v>46121</v>
      </c>
      <c r="H24" s="29">
        <f>VLOOKUP(B24,ATL!C:K,8,0)</f>
        <v>3.78952</v>
      </c>
      <c r="I24" s="29">
        <f>VLOOKUP(B24,ATL!C:K,7,0)</f>
        <v>0</v>
      </c>
      <c r="J24" t="b">
        <f t="shared" si="0"/>
        <v>1</v>
      </c>
      <c r="K24" t="b">
        <f t="shared" si="1"/>
        <v>1</v>
      </c>
    </row>
    <row r="25" spans="1:11" x14ac:dyDescent="0.3">
      <c r="A25" s="20" t="s">
        <v>334</v>
      </c>
      <c r="B25" s="19">
        <v>91891</v>
      </c>
      <c r="C25" s="25">
        <v>3.7329599999999998</v>
      </c>
      <c r="D25" s="34">
        <v>0</v>
      </c>
      <c r="E25" s="38">
        <v>46120</v>
      </c>
      <c r="F25" s="42">
        <v>46121</v>
      </c>
      <c r="H25" s="29">
        <f>VLOOKUP(B25,ATL!C:K,8,0)</f>
        <v>3.7329599999999998</v>
      </c>
      <c r="I25" s="29">
        <f>VLOOKUP(B25,ATL!C:K,7,0)</f>
        <v>0</v>
      </c>
      <c r="J25" t="b">
        <f t="shared" si="0"/>
        <v>1</v>
      </c>
      <c r="K25" t="b">
        <f t="shared" si="1"/>
        <v>1</v>
      </c>
    </row>
    <row r="26" spans="1:11" x14ac:dyDescent="0.3">
      <c r="A26" s="20" t="s">
        <v>334</v>
      </c>
      <c r="B26" s="19">
        <v>50808</v>
      </c>
      <c r="C26" s="25">
        <v>2.8572594005083514</v>
      </c>
      <c r="D26" s="35">
        <v>0</v>
      </c>
      <c r="E26" s="38">
        <v>46120</v>
      </c>
      <c r="F26" s="42">
        <v>46121</v>
      </c>
      <c r="H26" s="29">
        <f>VLOOKUP(B26,ATL!C:K,8,0)</f>
        <v>2.8572594005083514</v>
      </c>
      <c r="I26" s="29">
        <f>VLOOKUP(B26,ATL!C:K,7,0)</f>
        <v>0</v>
      </c>
      <c r="J26" t="b">
        <f t="shared" si="0"/>
        <v>1</v>
      </c>
      <c r="K26" t="b">
        <f t="shared" si="1"/>
        <v>1</v>
      </c>
    </row>
    <row r="27" spans="1:11" x14ac:dyDescent="0.3">
      <c r="A27" s="20" t="s">
        <v>334</v>
      </c>
      <c r="B27" s="19">
        <v>89910</v>
      </c>
      <c r="C27" s="26">
        <v>0</v>
      </c>
      <c r="D27" s="35">
        <v>0</v>
      </c>
      <c r="E27" s="38">
        <v>46120</v>
      </c>
      <c r="F27" s="42">
        <v>46121</v>
      </c>
      <c r="H27" s="29">
        <f>VLOOKUP(B27,ATL!C:K,8,0)</f>
        <v>0</v>
      </c>
      <c r="I27" s="29">
        <f>VLOOKUP(B27,ATL!C:K,7,0)</f>
        <v>0</v>
      </c>
      <c r="J27" t="b">
        <f t="shared" si="0"/>
        <v>1</v>
      </c>
      <c r="K27" t="b">
        <f t="shared" si="1"/>
        <v>1</v>
      </c>
    </row>
    <row r="28" spans="1:11" x14ac:dyDescent="0.3">
      <c r="A28" s="20" t="s">
        <v>334</v>
      </c>
      <c r="B28" s="19">
        <v>87987</v>
      </c>
      <c r="C28" s="25">
        <v>2.2800000000000001E-2</v>
      </c>
      <c r="D28" s="35">
        <v>0</v>
      </c>
      <c r="E28" s="38">
        <v>46120</v>
      </c>
      <c r="F28" s="42">
        <v>46121</v>
      </c>
      <c r="H28" s="29">
        <f>VLOOKUP(B28,ATL!C:K,8,0)</f>
        <v>2.2800000000000001E-2</v>
      </c>
      <c r="I28" s="29">
        <f>VLOOKUP(B28,ATL!C:K,7,0)</f>
        <v>0</v>
      </c>
      <c r="J28" t="b">
        <f t="shared" si="0"/>
        <v>1</v>
      </c>
      <c r="K28" t="b">
        <f t="shared" si="1"/>
        <v>1</v>
      </c>
    </row>
    <row r="29" spans="1:11" x14ac:dyDescent="0.3">
      <c r="A29" s="20" t="s">
        <v>334</v>
      </c>
      <c r="B29" s="19">
        <v>87988</v>
      </c>
      <c r="C29" s="25">
        <v>2.2800000000000001E-2</v>
      </c>
      <c r="D29" s="35">
        <v>0</v>
      </c>
      <c r="E29" s="38">
        <v>46120</v>
      </c>
      <c r="F29" s="42">
        <v>46121</v>
      </c>
      <c r="H29" s="29">
        <f>VLOOKUP(B29,ATL!C:K,8,0)</f>
        <v>2.2800000000000001E-2</v>
      </c>
      <c r="I29" s="29">
        <f>VLOOKUP(B29,ATL!C:K,7,0)</f>
        <v>0</v>
      </c>
      <c r="J29" t="b">
        <f t="shared" si="0"/>
        <v>1</v>
      </c>
      <c r="K29" t="b">
        <f t="shared" si="1"/>
        <v>1</v>
      </c>
    </row>
    <row r="30" spans="1:11" x14ac:dyDescent="0.3">
      <c r="A30" s="20" t="s">
        <v>334</v>
      </c>
      <c r="B30" s="19">
        <v>87989</v>
      </c>
      <c r="C30" s="25">
        <v>2.2800000000000001E-2</v>
      </c>
      <c r="D30" s="35">
        <v>0</v>
      </c>
      <c r="E30" s="38">
        <v>46120</v>
      </c>
      <c r="F30" s="42">
        <v>46121</v>
      </c>
      <c r="H30" s="29">
        <f>VLOOKUP(B30,ATL!C:K,8,0)</f>
        <v>2.2800000000000001E-2</v>
      </c>
      <c r="I30" s="29">
        <f>VLOOKUP(B30,ATL!C:K,7,0)</f>
        <v>0</v>
      </c>
      <c r="J30" t="b">
        <f t="shared" si="0"/>
        <v>1</v>
      </c>
      <c r="K30" t="b">
        <f t="shared" si="1"/>
        <v>1</v>
      </c>
    </row>
    <row r="31" spans="1:11" x14ac:dyDescent="0.3">
      <c r="A31" s="20" t="s">
        <v>334</v>
      </c>
      <c r="B31" s="19">
        <v>88002</v>
      </c>
      <c r="C31" s="25">
        <v>2.2800000000000001E-2</v>
      </c>
      <c r="D31" s="35">
        <v>0</v>
      </c>
      <c r="E31" s="38">
        <v>46120</v>
      </c>
      <c r="F31" s="42">
        <v>46121</v>
      </c>
      <c r="H31" s="29">
        <f>VLOOKUP(B31,ATL!C:K,8,0)</f>
        <v>2.2800000000000001E-2</v>
      </c>
      <c r="I31" s="29">
        <f>VLOOKUP(B31,ATL!C:K,7,0)</f>
        <v>0</v>
      </c>
      <c r="J31" t="b">
        <f t="shared" si="0"/>
        <v>1</v>
      </c>
      <c r="K31" t="b">
        <f t="shared" si="1"/>
        <v>1</v>
      </c>
    </row>
    <row r="32" spans="1:11" x14ac:dyDescent="0.3">
      <c r="A32" s="20" t="s">
        <v>334</v>
      </c>
      <c r="B32" s="19">
        <v>88007</v>
      </c>
      <c r="C32" s="25">
        <v>2.2800000000000001E-2</v>
      </c>
      <c r="D32" s="35">
        <v>0</v>
      </c>
      <c r="E32" s="38">
        <v>46120</v>
      </c>
      <c r="F32" s="42">
        <v>46121</v>
      </c>
      <c r="H32" s="29">
        <f>VLOOKUP(B32,ATL!C:K,8,0)</f>
        <v>2.2800000000000001E-2</v>
      </c>
      <c r="I32" s="29">
        <f>VLOOKUP(B32,ATL!C:K,7,0)</f>
        <v>0</v>
      </c>
      <c r="J32" t="b">
        <f t="shared" si="0"/>
        <v>1</v>
      </c>
      <c r="K32" t="b">
        <f t="shared" si="1"/>
        <v>1</v>
      </c>
    </row>
    <row r="33" spans="1:11" x14ac:dyDescent="0.3">
      <c r="A33" s="20" t="s">
        <v>334</v>
      </c>
      <c r="B33" s="19">
        <v>88008</v>
      </c>
      <c r="C33" s="25">
        <v>2.2800000000000001E-2</v>
      </c>
      <c r="D33" s="35">
        <v>0</v>
      </c>
      <c r="E33" s="38">
        <v>46120</v>
      </c>
      <c r="F33" s="42">
        <v>46121</v>
      </c>
      <c r="H33" s="29">
        <f>VLOOKUP(B33,ATL!C:K,8,0)</f>
        <v>2.2800000000000001E-2</v>
      </c>
      <c r="I33" s="29">
        <f>VLOOKUP(B33,ATL!C:K,7,0)</f>
        <v>0</v>
      </c>
      <c r="J33" t="b">
        <f t="shared" si="0"/>
        <v>1</v>
      </c>
      <c r="K33" t="b">
        <f t="shared" si="1"/>
        <v>1</v>
      </c>
    </row>
    <row r="34" spans="1:11" x14ac:dyDescent="0.3">
      <c r="A34" s="20" t="s">
        <v>334</v>
      </c>
      <c r="B34" s="19">
        <v>88273</v>
      </c>
      <c r="C34" s="25">
        <v>2.2800000000000001E-2</v>
      </c>
      <c r="D34" s="35">
        <v>0</v>
      </c>
      <c r="E34" s="38">
        <v>46120</v>
      </c>
      <c r="F34" s="42">
        <v>46121</v>
      </c>
      <c r="H34" s="29">
        <f>VLOOKUP(B34,ATL!C:K,8,0)</f>
        <v>2.2800000000000001E-2</v>
      </c>
      <c r="I34" s="29">
        <f>VLOOKUP(B34,ATL!C:K,7,0)</f>
        <v>0</v>
      </c>
      <c r="J34" t="b">
        <f t="shared" si="0"/>
        <v>1</v>
      </c>
      <c r="K34" t="b">
        <f t="shared" si="1"/>
        <v>1</v>
      </c>
    </row>
    <row r="35" spans="1:11" x14ac:dyDescent="0.3">
      <c r="A35" s="20" t="s">
        <v>334</v>
      </c>
      <c r="B35" s="19">
        <v>88274</v>
      </c>
      <c r="C35" s="25">
        <v>2.2800000000000001E-2</v>
      </c>
      <c r="D35" s="35">
        <v>0</v>
      </c>
      <c r="E35" s="38">
        <v>46120</v>
      </c>
      <c r="F35" s="42">
        <v>46121</v>
      </c>
      <c r="H35" s="29">
        <f>VLOOKUP(B35,ATL!C:K,8,0)</f>
        <v>2.2800000000000001E-2</v>
      </c>
      <c r="I35" s="29">
        <f>VLOOKUP(B35,ATL!C:K,7,0)</f>
        <v>0</v>
      </c>
      <c r="J35" t="b">
        <f t="shared" si="0"/>
        <v>1</v>
      </c>
      <c r="K35" t="b">
        <f t="shared" si="1"/>
        <v>1</v>
      </c>
    </row>
    <row r="36" spans="1:11" x14ac:dyDescent="0.3">
      <c r="A36" s="20" t="s">
        <v>334</v>
      </c>
      <c r="B36" s="19">
        <v>88275</v>
      </c>
      <c r="C36" s="25">
        <v>2.2800000000000001E-2</v>
      </c>
      <c r="D36" s="35">
        <v>0</v>
      </c>
      <c r="E36" s="38">
        <v>46120</v>
      </c>
      <c r="F36" s="42">
        <v>46121</v>
      </c>
      <c r="H36" s="29">
        <f>VLOOKUP(B36,ATL!C:K,8,0)</f>
        <v>2.2800000000000001E-2</v>
      </c>
      <c r="I36" s="29">
        <f>VLOOKUP(B36,ATL!C:K,7,0)</f>
        <v>0</v>
      </c>
      <c r="J36" t="b">
        <f t="shared" si="0"/>
        <v>1</v>
      </c>
      <c r="K36" t="b">
        <f t="shared" si="1"/>
        <v>1</v>
      </c>
    </row>
    <row r="37" spans="1:11" x14ac:dyDescent="0.3">
      <c r="A37" s="20" t="s">
        <v>334</v>
      </c>
      <c r="B37" s="19">
        <v>88276</v>
      </c>
      <c r="C37" s="25">
        <v>2.2800000000000001E-2</v>
      </c>
      <c r="D37" s="35">
        <v>0</v>
      </c>
      <c r="E37" s="38">
        <v>46120</v>
      </c>
      <c r="F37" s="42">
        <v>46121</v>
      </c>
      <c r="H37" s="29">
        <f>VLOOKUP(B37,ATL!C:K,8,0)</f>
        <v>2.2800000000000001E-2</v>
      </c>
      <c r="I37" s="29">
        <f>VLOOKUP(B37,ATL!C:K,7,0)</f>
        <v>0</v>
      </c>
      <c r="J37" t="b">
        <f t="shared" si="0"/>
        <v>1</v>
      </c>
      <c r="K37" t="b">
        <f t="shared" si="1"/>
        <v>1</v>
      </c>
    </row>
    <row r="38" spans="1:11" x14ac:dyDescent="0.3">
      <c r="A38" s="20" t="s">
        <v>334</v>
      </c>
      <c r="B38" s="19">
        <v>88807</v>
      </c>
      <c r="C38" s="25">
        <v>2.2800000000000001E-2</v>
      </c>
      <c r="D38" s="35">
        <v>0</v>
      </c>
      <c r="E38" s="38">
        <v>46120</v>
      </c>
      <c r="F38" s="42">
        <v>46121</v>
      </c>
      <c r="H38" s="29">
        <f>VLOOKUP(B38,ATL!C:K,8,0)</f>
        <v>2.2800000000000001E-2</v>
      </c>
      <c r="I38" s="29">
        <f>VLOOKUP(B38,ATL!C:K,7,0)</f>
        <v>0</v>
      </c>
      <c r="J38" t="b">
        <f t="shared" si="0"/>
        <v>1</v>
      </c>
      <c r="K38" t="b">
        <f t="shared" si="1"/>
        <v>1</v>
      </c>
    </row>
    <row r="39" spans="1:11" x14ac:dyDescent="0.3">
      <c r="A39" s="20" t="s">
        <v>334</v>
      </c>
      <c r="B39" s="19">
        <v>88808</v>
      </c>
      <c r="C39" s="25">
        <v>2.2800000000000001E-2</v>
      </c>
      <c r="D39" s="35">
        <v>0</v>
      </c>
      <c r="E39" s="38">
        <v>46120</v>
      </c>
      <c r="F39" s="42">
        <v>46121</v>
      </c>
      <c r="H39" s="29">
        <f>VLOOKUP(B39,ATL!C:K,8,0)</f>
        <v>2.2800000000000001E-2</v>
      </c>
      <c r="I39" s="29">
        <f>VLOOKUP(B39,ATL!C:K,7,0)</f>
        <v>0</v>
      </c>
      <c r="J39" t="b">
        <f t="shared" si="0"/>
        <v>1</v>
      </c>
      <c r="K39" t="b">
        <f t="shared" si="1"/>
        <v>1</v>
      </c>
    </row>
    <row r="40" spans="1:11" x14ac:dyDescent="0.3">
      <c r="A40" s="20" t="s">
        <v>334</v>
      </c>
      <c r="B40" s="19">
        <v>89776</v>
      </c>
      <c r="C40" s="25">
        <v>2.2800000000000001E-2</v>
      </c>
      <c r="D40" s="35">
        <v>0</v>
      </c>
      <c r="E40" s="38">
        <v>46120</v>
      </c>
      <c r="F40" s="42">
        <v>46121</v>
      </c>
      <c r="H40" s="29">
        <f>VLOOKUP(B40,ATL!C:K,8,0)</f>
        <v>2.2800000000000001E-2</v>
      </c>
      <c r="I40" s="29">
        <f>VLOOKUP(B40,ATL!C:K,7,0)</f>
        <v>0</v>
      </c>
      <c r="J40" t="b">
        <f t="shared" si="0"/>
        <v>1</v>
      </c>
      <c r="K40" t="b">
        <f t="shared" si="1"/>
        <v>1</v>
      </c>
    </row>
    <row r="41" spans="1:11" x14ac:dyDescent="0.3">
      <c r="A41" s="20" t="s">
        <v>334</v>
      </c>
      <c r="B41" s="19">
        <v>89875</v>
      </c>
      <c r="C41" s="25">
        <v>2.2800000000000001E-2</v>
      </c>
      <c r="D41" s="35">
        <v>0</v>
      </c>
      <c r="E41" s="38">
        <v>46120</v>
      </c>
      <c r="F41" s="42">
        <v>46121</v>
      </c>
      <c r="H41" s="29">
        <f>VLOOKUP(B41,ATL!C:K,8,0)</f>
        <v>2.2800000000000001E-2</v>
      </c>
      <c r="I41" s="29">
        <f>VLOOKUP(B41,ATL!C:K,7,0)</f>
        <v>0</v>
      </c>
      <c r="J41" t="b">
        <f t="shared" si="0"/>
        <v>1</v>
      </c>
      <c r="K41" t="b">
        <f t="shared" si="1"/>
        <v>1</v>
      </c>
    </row>
    <row r="42" spans="1:11" x14ac:dyDescent="0.3">
      <c r="A42" s="20" t="s">
        <v>334</v>
      </c>
      <c r="B42" s="19">
        <v>89881</v>
      </c>
      <c r="C42" s="25">
        <v>2.2800000000000001E-2</v>
      </c>
      <c r="D42" s="35">
        <v>0</v>
      </c>
      <c r="E42" s="38">
        <v>46120</v>
      </c>
      <c r="F42" s="42">
        <v>46121</v>
      </c>
      <c r="H42" s="29">
        <f>VLOOKUP(B42,ATL!C:K,8,0)</f>
        <v>2.2800000000000001E-2</v>
      </c>
      <c r="I42" s="29">
        <f>VLOOKUP(B42,ATL!C:K,7,0)</f>
        <v>0</v>
      </c>
      <c r="J42" t="b">
        <f t="shared" si="0"/>
        <v>1</v>
      </c>
      <c r="K42" t="b">
        <f t="shared" si="1"/>
        <v>1</v>
      </c>
    </row>
    <row r="43" spans="1:11" x14ac:dyDescent="0.3">
      <c r="A43" s="20" t="s">
        <v>334</v>
      </c>
      <c r="B43" s="19">
        <v>89911</v>
      </c>
      <c r="C43" s="25">
        <v>2.2800000000000001E-2</v>
      </c>
      <c r="D43" s="35">
        <v>0</v>
      </c>
      <c r="E43" s="38">
        <v>46120</v>
      </c>
      <c r="F43" s="42">
        <v>46121</v>
      </c>
      <c r="H43" s="29">
        <f>VLOOKUP(B43,ATL!C:K,8,0)</f>
        <v>2.2800000000000001E-2</v>
      </c>
      <c r="I43" s="29">
        <f>VLOOKUP(B43,ATL!C:K,7,0)</f>
        <v>0</v>
      </c>
      <c r="J43" t="b">
        <f t="shared" si="0"/>
        <v>1</v>
      </c>
      <c r="K43" t="b">
        <f t="shared" si="1"/>
        <v>1</v>
      </c>
    </row>
    <row r="44" spans="1:11" x14ac:dyDescent="0.3">
      <c r="A44" s="20" t="s">
        <v>334</v>
      </c>
      <c r="B44" s="19">
        <v>89962</v>
      </c>
      <c r="C44" s="25">
        <v>2.2800000000000001E-2</v>
      </c>
      <c r="D44" s="35">
        <v>0</v>
      </c>
      <c r="E44" s="38">
        <v>46120</v>
      </c>
      <c r="F44" s="42">
        <v>46121</v>
      </c>
      <c r="H44" s="29">
        <f>VLOOKUP(B44,ATL!C:K,8,0)</f>
        <v>2.2800000000000001E-2</v>
      </c>
      <c r="I44" s="29">
        <f>VLOOKUP(B44,ATL!C:K,7,0)</f>
        <v>0</v>
      </c>
      <c r="J44" t="b">
        <f t="shared" si="0"/>
        <v>1</v>
      </c>
      <c r="K44" t="b">
        <f t="shared" si="1"/>
        <v>1</v>
      </c>
    </row>
    <row r="45" spans="1:11" x14ac:dyDescent="0.3">
      <c r="A45" s="20" t="s">
        <v>334</v>
      </c>
      <c r="B45" s="19">
        <v>17817</v>
      </c>
      <c r="C45" s="25">
        <v>0.10948559999999999</v>
      </c>
      <c r="D45" s="34">
        <v>0</v>
      </c>
      <c r="E45" s="38">
        <v>46120</v>
      </c>
      <c r="F45" s="42">
        <v>46121</v>
      </c>
      <c r="H45" s="29">
        <f>VLOOKUP(B45,ATL!C:K,8,0)</f>
        <v>0.10948559999999999</v>
      </c>
      <c r="I45" s="29">
        <f>VLOOKUP(B45,ATL!C:K,7,0)</f>
        <v>0</v>
      </c>
      <c r="J45" t="b">
        <f t="shared" si="0"/>
        <v>1</v>
      </c>
      <c r="K45" t="b">
        <f t="shared" si="1"/>
        <v>1</v>
      </c>
    </row>
    <row r="46" spans="1:11" x14ac:dyDescent="0.3">
      <c r="A46" s="20" t="s">
        <v>334</v>
      </c>
      <c r="B46" s="19">
        <v>32727</v>
      </c>
      <c r="C46" s="25">
        <v>0.82275188636363628</v>
      </c>
      <c r="D46" s="34">
        <v>0.45999999999999991</v>
      </c>
      <c r="E46" s="38">
        <v>46120</v>
      </c>
      <c r="F46" s="42">
        <v>46121</v>
      </c>
      <c r="H46" s="29">
        <f>VLOOKUP(B46,ATL!C:K,8,0)</f>
        <v>0.82275188636363628</v>
      </c>
      <c r="I46" s="29">
        <f>VLOOKUP(B46,ATL!C:K,7,0)</f>
        <v>0.45999999999999991</v>
      </c>
      <c r="J46" t="b">
        <f t="shared" si="0"/>
        <v>1</v>
      </c>
      <c r="K46" t="b">
        <f t="shared" si="1"/>
        <v>1</v>
      </c>
    </row>
    <row r="47" spans="1:11" x14ac:dyDescent="0.3">
      <c r="A47" s="20" t="s">
        <v>334</v>
      </c>
      <c r="B47" s="19">
        <v>39289</v>
      </c>
      <c r="C47" s="25">
        <v>0.16699199999999997</v>
      </c>
      <c r="D47" s="34">
        <v>0</v>
      </c>
      <c r="E47" s="38">
        <v>46120</v>
      </c>
      <c r="F47" s="42">
        <v>46121</v>
      </c>
      <c r="H47" s="29">
        <f>VLOOKUP(B47,ATL!C:K,8,0)</f>
        <v>0.16699199999999997</v>
      </c>
      <c r="I47" s="29">
        <f>VLOOKUP(B47,ATL!C:K,7,0)</f>
        <v>0</v>
      </c>
      <c r="J47" t="b">
        <f t="shared" si="0"/>
        <v>1</v>
      </c>
      <c r="K47" t="b">
        <f t="shared" si="1"/>
        <v>1</v>
      </c>
    </row>
    <row r="48" spans="1:11" x14ac:dyDescent="0.3">
      <c r="A48" s="20" t="s">
        <v>334</v>
      </c>
      <c r="B48" s="19">
        <v>39505</v>
      </c>
      <c r="C48" s="25">
        <v>0.31987200000000005</v>
      </c>
      <c r="D48" s="34">
        <v>0</v>
      </c>
      <c r="E48" s="38">
        <v>46120</v>
      </c>
      <c r="F48" s="42">
        <v>46121</v>
      </c>
      <c r="H48" s="29">
        <f>VLOOKUP(B48,ATL!C:K,8,0)</f>
        <v>0.31987200000000005</v>
      </c>
      <c r="I48" s="29">
        <f>VLOOKUP(B48,ATL!C:K,7,0)</f>
        <v>0</v>
      </c>
      <c r="J48" t="b">
        <f t="shared" si="0"/>
        <v>1</v>
      </c>
      <c r="K48" t="b">
        <f t="shared" si="1"/>
        <v>1</v>
      </c>
    </row>
    <row r="49" spans="1:11" x14ac:dyDescent="0.3">
      <c r="A49" s="20" t="s">
        <v>334</v>
      </c>
      <c r="B49" s="19">
        <v>459</v>
      </c>
      <c r="C49" s="25">
        <v>6.5855999999999995</v>
      </c>
      <c r="D49" s="34">
        <v>0</v>
      </c>
      <c r="E49" s="38">
        <v>46120</v>
      </c>
      <c r="F49" s="42">
        <v>46121</v>
      </c>
      <c r="H49" s="29">
        <f>VLOOKUP(B49,ATL!C:K,8,0)</f>
        <v>6.5855999999999995</v>
      </c>
      <c r="I49" s="29">
        <f>VLOOKUP(B49,ATL!C:K,7,0)</f>
        <v>0</v>
      </c>
      <c r="J49" t="b">
        <f t="shared" si="0"/>
        <v>1</v>
      </c>
      <c r="K49" t="b">
        <f t="shared" si="1"/>
        <v>1</v>
      </c>
    </row>
    <row r="50" spans="1:11" x14ac:dyDescent="0.3">
      <c r="A50" s="20" t="s">
        <v>334</v>
      </c>
      <c r="B50" s="19">
        <v>48561</v>
      </c>
      <c r="C50" s="25">
        <v>0.53134782608695641</v>
      </c>
      <c r="D50" s="34">
        <v>0.11499999999999998</v>
      </c>
      <c r="E50" s="38">
        <v>46120</v>
      </c>
      <c r="F50" s="42">
        <v>46121</v>
      </c>
      <c r="H50" s="29">
        <f>VLOOKUP(B50,ATL!C:K,8,0)</f>
        <v>0.53134782608695641</v>
      </c>
      <c r="I50" s="29">
        <f>VLOOKUP(B50,ATL!C:K,7,0)</f>
        <v>0.11499999999999998</v>
      </c>
      <c r="J50" t="b">
        <f t="shared" si="0"/>
        <v>1</v>
      </c>
      <c r="K50" t="b">
        <f t="shared" si="1"/>
        <v>1</v>
      </c>
    </row>
    <row r="51" spans="1:11" x14ac:dyDescent="0.3">
      <c r="A51" s="20" t="s">
        <v>334</v>
      </c>
      <c r="B51" s="19">
        <v>49964</v>
      </c>
      <c r="C51" s="25">
        <v>0</v>
      </c>
      <c r="D51" s="34">
        <v>0</v>
      </c>
      <c r="E51" s="38">
        <v>46120</v>
      </c>
      <c r="F51" s="42">
        <v>46121</v>
      </c>
      <c r="H51" s="29">
        <f>VLOOKUP(B51,ATL!C:K,8,0)</f>
        <v>0</v>
      </c>
      <c r="I51" s="29">
        <f>VLOOKUP(B51,ATL!C:K,7,0)</f>
        <v>0</v>
      </c>
      <c r="J51" t="b">
        <f t="shared" si="0"/>
        <v>1</v>
      </c>
      <c r="K51" t="b">
        <f t="shared" si="1"/>
        <v>1</v>
      </c>
    </row>
    <row r="52" spans="1:11" x14ac:dyDescent="0.3">
      <c r="A52" s="20" t="s">
        <v>334</v>
      </c>
      <c r="B52" s="19">
        <v>58117</v>
      </c>
      <c r="C52" s="25">
        <v>0.34569500000000003</v>
      </c>
      <c r="D52" s="34">
        <v>0</v>
      </c>
      <c r="E52" s="38">
        <v>46120</v>
      </c>
      <c r="F52" s="42">
        <v>46121</v>
      </c>
      <c r="H52" s="29">
        <f>VLOOKUP(B52,ATL!C:K,8,0)</f>
        <v>0.34569500000000003</v>
      </c>
      <c r="I52" s="29">
        <f>VLOOKUP(B52,ATL!C:K,7,0)</f>
        <v>0</v>
      </c>
      <c r="J52" t="b">
        <f t="shared" si="0"/>
        <v>1</v>
      </c>
      <c r="K52" t="b">
        <f t="shared" si="1"/>
        <v>1</v>
      </c>
    </row>
    <row r="53" spans="1:11" x14ac:dyDescent="0.3">
      <c r="A53" s="20" t="s">
        <v>334</v>
      </c>
      <c r="B53" s="19">
        <v>58738</v>
      </c>
      <c r="C53" s="25">
        <v>0</v>
      </c>
      <c r="D53" s="34">
        <v>0</v>
      </c>
      <c r="E53" s="38">
        <v>46120</v>
      </c>
      <c r="F53" s="42">
        <v>46121</v>
      </c>
      <c r="H53" s="29">
        <f>VLOOKUP(B53,ATL!C:K,8,0)</f>
        <v>0</v>
      </c>
      <c r="I53" s="29">
        <f>VLOOKUP(B53,ATL!C:K,7,0)</f>
        <v>0</v>
      </c>
      <c r="J53" t="b">
        <f t="shared" si="0"/>
        <v>1</v>
      </c>
      <c r="K53" t="b">
        <f t="shared" si="1"/>
        <v>1</v>
      </c>
    </row>
    <row r="54" spans="1:11" x14ac:dyDescent="0.3">
      <c r="A54" s="20" t="s">
        <v>334</v>
      </c>
      <c r="B54" s="19">
        <v>58848</v>
      </c>
      <c r="C54" s="25">
        <v>0.59835496265624999</v>
      </c>
      <c r="D54" s="34">
        <v>0.34499999999999997</v>
      </c>
      <c r="E54" s="38">
        <v>46120</v>
      </c>
      <c r="F54" s="42">
        <v>46121</v>
      </c>
      <c r="H54" s="29">
        <f>VLOOKUP(B54,ATL!C:K,8,0)</f>
        <v>0.59835496265624999</v>
      </c>
      <c r="I54" s="29">
        <f>VLOOKUP(B54,ATL!C:K,7,0)</f>
        <v>0.34499999999999997</v>
      </c>
      <c r="J54" t="b">
        <f t="shared" si="0"/>
        <v>1</v>
      </c>
      <c r="K54" t="b">
        <f t="shared" si="1"/>
        <v>1</v>
      </c>
    </row>
    <row r="55" spans="1:11" x14ac:dyDescent="0.3">
      <c r="A55" s="20" t="s">
        <v>334</v>
      </c>
      <c r="B55" s="19">
        <v>67271</v>
      </c>
      <c r="C55" s="25">
        <v>0.51962399999999997</v>
      </c>
      <c r="D55" s="34">
        <v>0</v>
      </c>
      <c r="E55" s="38">
        <v>46120</v>
      </c>
      <c r="F55" s="42">
        <v>46121</v>
      </c>
      <c r="H55" s="29">
        <f>VLOOKUP(B55,ATL!C:K,8,0)</f>
        <v>0.51962399999999997</v>
      </c>
      <c r="I55" s="29">
        <f>VLOOKUP(B55,ATL!C:K,7,0)</f>
        <v>0</v>
      </c>
      <c r="J55" t="b">
        <f t="shared" si="0"/>
        <v>1</v>
      </c>
      <c r="K55" t="b">
        <f t="shared" si="1"/>
        <v>1</v>
      </c>
    </row>
    <row r="56" spans="1:11" x14ac:dyDescent="0.3">
      <c r="A56" s="20" t="s">
        <v>334</v>
      </c>
      <c r="B56" s="19">
        <v>68353</v>
      </c>
      <c r="C56" s="25">
        <v>0.98976033333333346</v>
      </c>
      <c r="D56" s="34">
        <v>0</v>
      </c>
      <c r="E56" s="38">
        <v>46120</v>
      </c>
      <c r="F56" s="42">
        <v>46121</v>
      </c>
      <c r="H56" s="29">
        <f>VLOOKUP(B56,ATL!C:K,8,0)</f>
        <v>0.98976033333333346</v>
      </c>
      <c r="I56" s="29">
        <f>VLOOKUP(B56,ATL!C:K,7,0)</f>
        <v>0</v>
      </c>
      <c r="J56" t="b">
        <f t="shared" si="0"/>
        <v>1</v>
      </c>
      <c r="K56" t="b">
        <f t="shared" si="1"/>
        <v>1</v>
      </c>
    </row>
    <row r="57" spans="1:11" x14ac:dyDescent="0.3">
      <c r="A57" s="20" t="s">
        <v>334</v>
      </c>
      <c r="B57" s="19">
        <v>68370</v>
      </c>
      <c r="C57" s="25">
        <v>0.27916000000000002</v>
      </c>
      <c r="D57" s="34">
        <v>0</v>
      </c>
      <c r="E57" s="38">
        <v>46120</v>
      </c>
      <c r="F57" s="42">
        <v>46121</v>
      </c>
      <c r="H57" s="29">
        <f>VLOOKUP(B57,ATL!C:K,8,0)</f>
        <v>0.27916000000000002</v>
      </c>
      <c r="I57" s="29">
        <f>VLOOKUP(B57,ATL!C:K,7,0)</f>
        <v>0</v>
      </c>
      <c r="J57" t="b">
        <f t="shared" si="0"/>
        <v>1</v>
      </c>
      <c r="K57" t="b">
        <f t="shared" si="1"/>
        <v>1</v>
      </c>
    </row>
    <row r="58" spans="1:11" x14ac:dyDescent="0.3">
      <c r="A58" s="20" t="s">
        <v>334</v>
      </c>
      <c r="B58" s="19">
        <v>74862</v>
      </c>
      <c r="C58" s="25">
        <v>0.50444800000000001</v>
      </c>
      <c r="D58" s="34">
        <v>0</v>
      </c>
      <c r="E58" s="38">
        <v>46120</v>
      </c>
      <c r="F58" s="42">
        <v>46121</v>
      </c>
      <c r="H58" s="29">
        <f>VLOOKUP(B58,ATL!C:K,8,0)</f>
        <v>0.50444800000000001</v>
      </c>
      <c r="I58" s="29">
        <f>VLOOKUP(B58,ATL!C:K,7,0)</f>
        <v>0</v>
      </c>
      <c r="J58" t="b">
        <f t="shared" si="0"/>
        <v>1</v>
      </c>
      <c r="K58" t="b">
        <f t="shared" si="1"/>
        <v>1</v>
      </c>
    </row>
    <row r="59" spans="1:11" x14ac:dyDescent="0.3">
      <c r="A59" s="20" t="s">
        <v>334</v>
      </c>
      <c r="B59" s="19">
        <v>75240</v>
      </c>
      <c r="C59" s="25">
        <v>0.44799999999999995</v>
      </c>
      <c r="D59" s="34">
        <v>0</v>
      </c>
      <c r="E59" s="38">
        <v>46120</v>
      </c>
      <c r="F59" s="42">
        <v>46121</v>
      </c>
      <c r="H59" s="29">
        <f>VLOOKUP(B59,ATL!C:K,8,0)</f>
        <v>0.44799999999999995</v>
      </c>
      <c r="I59" s="29">
        <f>VLOOKUP(B59,ATL!C:K,7,0)</f>
        <v>0</v>
      </c>
      <c r="J59" t="b">
        <f t="shared" si="0"/>
        <v>1</v>
      </c>
      <c r="K59" t="b">
        <f t="shared" si="1"/>
        <v>1</v>
      </c>
    </row>
    <row r="60" spans="1:11" x14ac:dyDescent="0.3">
      <c r="A60" s="20" t="s">
        <v>334</v>
      </c>
      <c r="B60" s="19">
        <v>75245</v>
      </c>
      <c r="C60" s="25">
        <v>0.29120000000000001</v>
      </c>
      <c r="D60" s="34">
        <v>0</v>
      </c>
      <c r="E60" s="38">
        <v>46120</v>
      </c>
      <c r="F60" s="42">
        <v>46121</v>
      </c>
      <c r="H60" s="29">
        <f>VLOOKUP(B60,ATL!C:K,8,0)</f>
        <v>0.29120000000000001</v>
      </c>
      <c r="I60" s="29">
        <f>VLOOKUP(B60,ATL!C:K,7,0)</f>
        <v>0</v>
      </c>
      <c r="J60" t="b">
        <f t="shared" si="0"/>
        <v>1</v>
      </c>
      <c r="K60" t="b">
        <f t="shared" si="1"/>
        <v>1</v>
      </c>
    </row>
    <row r="61" spans="1:11" x14ac:dyDescent="0.3">
      <c r="A61" s="20" t="s">
        <v>334</v>
      </c>
      <c r="B61" s="19">
        <v>75247</v>
      </c>
      <c r="C61" s="25">
        <v>0.27048</v>
      </c>
      <c r="D61" s="34">
        <v>0</v>
      </c>
      <c r="E61" s="38">
        <v>46120</v>
      </c>
      <c r="F61" s="42">
        <v>46121</v>
      </c>
      <c r="H61" s="29">
        <f>VLOOKUP(B61,ATL!C:K,8,0)</f>
        <v>0.27048</v>
      </c>
      <c r="I61" s="29">
        <f>VLOOKUP(B61,ATL!C:K,7,0)</f>
        <v>0</v>
      </c>
      <c r="J61" t="b">
        <f t="shared" si="0"/>
        <v>1</v>
      </c>
      <c r="K61" t="b">
        <f t="shared" si="1"/>
        <v>1</v>
      </c>
    </row>
    <row r="62" spans="1:11" x14ac:dyDescent="0.3">
      <c r="A62" s="20" t="s">
        <v>334</v>
      </c>
      <c r="B62" s="19">
        <v>77494</v>
      </c>
      <c r="C62" s="25">
        <v>0.10948559999999999</v>
      </c>
      <c r="D62" s="34">
        <v>0</v>
      </c>
      <c r="E62" s="38">
        <v>46120</v>
      </c>
      <c r="F62" s="42">
        <v>46121</v>
      </c>
      <c r="H62" s="29">
        <f>VLOOKUP(B62,ATL!C:K,8,0)</f>
        <v>0.10948559999999999</v>
      </c>
      <c r="I62" s="29">
        <f>VLOOKUP(B62,ATL!C:K,7,0)</f>
        <v>0</v>
      </c>
      <c r="J62" t="b">
        <f t="shared" si="0"/>
        <v>1</v>
      </c>
      <c r="K62" t="b">
        <f t="shared" si="1"/>
        <v>1</v>
      </c>
    </row>
    <row r="63" spans="1:11" x14ac:dyDescent="0.3">
      <c r="A63" s="20" t="s">
        <v>334</v>
      </c>
      <c r="B63" s="19">
        <v>77988</v>
      </c>
      <c r="C63" s="25">
        <v>0</v>
      </c>
      <c r="D63" s="34">
        <v>0</v>
      </c>
      <c r="E63" s="38">
        <v>46120</v>
      </c>
      <c r="F63" s="42">
        <v>46121</v>
      </c>
      <c r="H63" s="29">
        <f>VLOOKUP(B63,ATL!C:K,8,0)</f>
        <v>0</v>
      </c>
      <c r="I63" s="29">
        <f>VLOOKUP(B63,ATL!C:K,7,0)</f>
        <v>0</v>
      </c>
      <c r="J63" t="b">
        <f t="shared" si="0"/>
        <v>1</v>
      </c>
      <c r="K63" t="b">
        <f t="shared" si="1"/>
        <v>1</v>
      </c>
    </row>
    <row r="64" spans="1:11" x14ac:dyDescent="0.3">
      <c r="A64" s="20" t="s">
        <v>334</v>
      </c>
      <c r="B64" s="19">
        <v>79011</v>
      </c>
      <c r="C64" s="25">
        <v>1.2665210868333334</v>
      </c>
      <c r="D64" s="34">
        <v>0.34499999999999997</v>
      </c>
      <c r="E64" s="38">
        <v>46120</v>
      </c>
      <c r="F64" s="42">
        <v>46121</v>
      </c>
      <c r="H64" s="29">
        <f>VLOOKUP(B64,ATL!C:K,8,0)</f>
        <v>1.2665210868333334</v>
      </c>
      <c r="I64" s="29">
        <f>VLOOKUP(B64,ATL!C:K,7,0)</f>
        <v>0.34499999999999997</v>
      </c>
      <c r="J64" t="b">
        <f t="shared" si="0"/>
        <v>1</v>
      </c>
      <c r="K64" t="b">
        <f t="shared" si="1"/>
        <v>1</v>
      </c>
    </row>
    <row r="65" spans="1:11" x14ac:dyDescent="0.3">
      <c r="A65" s="20" t="s">
        <v>334</v>
      </c>
      <c r="B65" s="19">
        <v>79013</v>
      </c>
      <c r="C65" s="25">
        <v>1.2884009722500001</v>
      </c>
      <c r="D65" s="34">
        <v>0.34499999999999997</v>
      </c>
      <c r="E65" s="38">
        <v>46120</v>
      </c>
      <c r="F65" s="42">
        <v>46121</v>
      </c>
      <c r="H65" s="29">
        <f>VLOOKUP(B65,ATL!C:K,8,0)</f>
        <v>1.2884009722500001</v>
      </c>
      <c r="I65" s="29">
        <f>VLOOKUP(B65,ATL!C:K,7,0)</f>
        <v>0.34499999999999997</v>
      </c>
      <c r="J65" t="b">
        <f t="shared" si="0"/>
        <v>1</v>
      </c>
      <c r="K65" t="b">
        <f t="shared" si="1"/>
        <v>1</v>
      </c>
    </row>
    <row r="66" spans="1:11" x14ac:dyDescent="0.3">
      <c r="A66" s="20" t="s">
        <v>334</v>
      </c>
      <c r="B66" s="19">
        <v>79015</v>
      </c>
      <c r="C66" s="25">
        <v>1.2023960868333332</v>
      </c>
      <c r="D66" s="34">
        <v>0.34499999999999997</v>
      </c>
      <c r="E66" s="38">
        <v>46120</v>
      </c>
      <c r="F66" s="42">
        <v>46121</v>
      </c>
      <c r="H66" s="29">
        <f>VLOOKUP(B66,ATL!C:K,8,0)</f>
        <v>1.2023960868333332</v>
      </c>
      <c r="I66" s="29">
        <f>VLOOKUP(B66,ATL!C:K,7,0)</f>
        <v>0.34499999999999997</v>
      </c>
      <c r="J66" t="b">
        <f t="shared" si="0"/>
        <v>1</v>
      </c>
      <c r="K66" t="b">
        <f t="shared" si="1"/>
        <v>1</v>
      </c>
    </row>
    <row r="67" spans="1:11" x14ac:dyDescent="0.3">
      <c r="A67" s="20" t="s">
        <v>334</v>
      </c>
      <c r="B67" s="19">
        <v>79017</v>
      </c>
      <c r="C67" s="25">
        <v>1.2299759722500001</v>
      </c>
      <c r="D67" s="34">
        <v>0.34499999999999997</v>
      </c>
      <c r="E67" s="38">
        <v>46120</v>
      </c>
      <c r="F67" s="42">
        <v>46121</v>
      </c>
      <c r="H67" s="29">
        <f>VLOOKUP(B67,ATL!C:K,8,0)</f>
        <v>1.2299759722500001</v>
      </c>
      <c r="I67" s="29">
        <f>VLOOKUP(B67,ATL!C:K,7,0)</f>
        <v>0.34499999999999997</v>
      </c>
      <c r="J67" t="b">
        <f t="shared" ref="J67:J130" si="2">C67=H67</f>
        <v>1</v>
      </c>
      <c r="K67" t="b">
        <f t="shared" ref="K67:K130" si="3">D67=I67</f>
        <v>1</v>
      </c>
    </row>
    <row r="68" spans="1:11" x14ac:dyDescent="0.3">
      <c r="A68" s="20" t="s">
        <v>334</v>
      </c>
      <c r="B68" s="19">
        <v>80787</v>
      </c>
      <c r="C68" s="25">
        <v>4.6351839999999997</v>
      </c>
      <c r="D68" s="34">
        <v>0.22999999999999995</v>
      </c>
      <c r="E68" s="38">
        <v>46120</v>
      </c>
      <c r="F68" s="42">
        <v>46121</v>
      </c>
      <c r="H68" s="29">
        <f>VLOOKUP(B68,ATL!C:K,8,0)</f>
        <v>4.6351839999999997</v>
      </c>
      <c r="I68" s="29">
        <f>VLOOKUP(B68,ATL!C:K,7,0)</f>
        <v>0.22999999999999995</v>
      </c>
      <c r="J68" t="b">
        <f t="shared" si="2"/>
        <v>1</v>
      </c>
      <c r="K68" t="b">
        <f t="shared" si="3"/>
        <v>1</v>
      </c>
    </row>
    <row r="69" spans="1:11" x14ac:dyDescent="0.3">
      <c r="A69" s="20" t="s">
        <v>334</v>
      </c>
      <c r="B69" s="19">
        <v>80944</v>
      </c>
      <c r="C69" s="25">
        <v>0.10948559999999999</v>
      </c>
      <c r="D69" s="34">
        <v>0</v>
      </c>
      <c r="E69" s="38">
        <v>46120</v>
      </c>
      <c r="F69" s="42">
        <v>46121</v>
      </c>
      <c r="H69" s="29">
        <f>VLOOKUP(B69,ATL!C:K,8,0)</f>
        <v>0.10948559999999999</v>
      </c>
      <c r="I69" s="29">
        <f>VLOOKUP(B69,ATL!C:K,7,0)</f>
        <v>0</v>
      </c>
      <c r="J69" t="b">
        <f t="shared" si="2"/>
        <v>1</v>
      </c>
      <c r="K69" t="b">
        <f t="shared" si="3"/>
        <v>1</v>
      </c>
    </row>
    <row r="70" spans="1:11" x14ac:dyDescent="0.3">
      <c r="A70" s="20" t="s">
        <v>334</v>
      </c>
      <c r="B70" s="19">
        <v>82095</v>
      </c>
      <c r="C70" s="25">
        <v>0.27048</v>
      </c>
      <c r="D70" s="34">
        <v>0</v>
      </c>
      <c r="E70" s="38">
        <v>46120</v>
      </c>
      <c r="F70" s="42">
        <v>46121</v>
      </c>
      <c r="H70" s="29">
        <f>VLOOKUP(B70,ATL!C:K,8,0)</f>
        <v>0.27048</v>
      </c>
      <c r="I70" s="29">
        <f>VLOOKUP(B70,ATL!C:K,7,0)</f>
        <v>0</v>
      </c>
      <c r="J70" t="b">
        <f t="shared" si="2"/>
        <v>1</v>
      </c>
      <c r="K70" t="b">
        <f t="shared" si="3"/>
        <v>1</v>
      </c>
    </row>
    <row r="71" spans="1:11" x14ac:dyDescent="0.3">
      <c r="A71" s="20" t="s">
        <v>334</v>
      </c>
      <c r="B71" s="19">
        <v>82771</v>
      </c>
      <c r="C71" s="25">
        <v>0.10948559999999999</v>
      </c>
      <c r="D71" s="34">
        <v>0</v>
      </c>
      <c r="E71" s="38">
        <v>46120</v>
      </c>
      <c r="F71" s="42">
        <v>46121</v>
      </c>
      <c r="H71" s="29">
        <f>VLOOKUP(B71,ATL!C:K,8,0)</f>
        <v>0.10948559999999999</v>
      </c>
      <c r="I71" s="29">
        <f>VLOOKUP(B71,ATL!C:K,7,0)</f>
        <v>0</v>
      </c>
      <c r="J71" t="b">
        <f t="shared" si="2"/>
        <v>1</v>
      </c>
      <c r="K71" t="b">
        <f t="shared" si="3"/>
        <v>1</v>
      </c>
    </row>
    <row r="72" spans="1:11" x14ac:dyDescent="0.3">
      <c r="A72" s="20" t="s">
        <v>334</v>
      </c>
      <c r="B72" s="19">
        <v>83559</v>
      </c>
      <c r="C72" s="25">
        <v>1.9640040000000001</v>
      </c>
      <c r="D72" s="34">
        <v>0</v>
      </c>
      <c r="E72" s="38">
        <v>46120</v>
      </c>
      <c r="F72" s="42">
        <v>46121</v>
      </c>
      <c r="H72" s="29">
        <f>VLOOKUP(B72,ATL!C:K,8,0)</f>
        <v>1.9640040000000001</v>
      </c>
      <c r="I72" s="29">
        <f>VLOOKUP(B72,ATL!C:K,7,0)</f>
        <v>0</v>
      </c>
      <c r="J72" t="b">
        <f t="shared" si="2"/>
        <v>1</v>
      </c>
      <c r="K72" t="b">
        <f t="shared" si="3"/>
        <v>1</v>
      </c>
    </row>
    <row r="73" spans="1:11" x14ac:dyDescent="0.3">
      <c r="A73" s="20" t="s">
        <v>334</v>
      </c>
      <c r="B73" s="19">
        <v>87237</v>
      </c>
      <c r="C73" s="25">
        <v>0.3528</v>
      </c>
      <c r="D73" s="34">
        <v>0</v>
      </c>
      <c r="E73" s="38">
        <v>46120</v>
      </c>
      <c r="F73" s="42">
        <v>46121</v>
      </c>
      <c r="H73" s="29">
        <f>VLOOKUP(B73,ATL!C:K,8,0)</f>
        <v>0.3528</v>
      </c>
      <c r="I73" s="29">
        <f>VLOOKUP(B73,ATL!C:K,7,0)</f>
        <v>0</v>
      </c>
      <c r="J73" t="b">
        <f t="shared" si="2"/>
        <v>1</v>
      </c>
      <c r="K73" t="b">
        <f t="shared" si="3"/>
        <v>1</v>
      </c>
    </row>
    <row r="74" spans="1:11" x14ac:dyDescent="0.3">
      <c r="A74" s="20" t="s">
        <v>334</v>
      </c>
      <c r="B74" s="19">
        <v>87304</v>
      </c>
      <c r="C74" s="25">
        <v>0.37801050000000003</v>
      </c>
      <c r="D74" s="34">
        <v>0</v>
      </c>
      <c r="E74" s="38">
        <v>46120</v>
      </c>
      <c r="F74" s="42">
        <v>46121</v>
      </c>
      <c r="H74" s="29">
        <f>VLOOKUP(B74,ATL!C:K,8,0)</f>
        <v>0.37801050000000003</v>
      </c>
      <c r="I74" s="29">
        <f>VLOOKUP(B74,ATL!C:K,7,0)</f>
        <v>0</v>
      </c>
      <c r="J74" t="b">
        <f t="shared" si="2"/>
        <v>1</v>
      </c>
      <c r="K74" t="b">
        <f t="shared" si="3"/>
        <v>1</v>
      </c>
    </row>
    <row r="75" spans="1:11" x14ac:dyDescent="0.3">
      <c r="A75" s="20" t="s">
        <v>334</v>
      </c>
      <c r="B75" s="19">
        <v>87461</v>
      </c>
      <c r="C75" s="25">
        <v>0.531748</v>
      </c>
      <c r="D75" s="34">
        <v>0</v>
      </c>
      <c r="E75" s="38">
        <v>46120</v>
      </c>
      <c r="F75" s="42">
        <v>46121</v>
      </c>
      <c r="H75" s="29">
        <f>VLOOKUP(B75,ATL!C:K,8,0)</f>
        <v>0.531748</v>
      </c>
      <c r="I75" s="29">
        <f>VLOOKUP(B75,ATL!C:K,7,0)</f>
        <v>0</v>
      </c>
      <c r="J75" t="b">
        <f t="shared" si="2"/>
        <v>1</v>
      </c>
      <c r="K75" t="b">
        <f t="shared" si="3"/>
        <v>1</v>
      </c>
    </row>
    <row r="76" spans="1:11" x14ac:dyDescent="0.3">
      <c r="A76" s="20" t="s">
        <v>334</v>
      </c>
      <c r="B76" s="19">
        <v>87482</v>
      </c>
      <c r="C76" s="25">
        <v>0</v>
      </c>
      <c r="D76" s="34">
        <v>0</v>
      </c>
      <c r="E76" s="38">
        <v>46120</v>
      </c>
      <c r="F76" s="42">
        <v>46121</v>
      </c>
      <c r="H76" s="29">
        <f>VLOOKUP(B76,ATL!C:K,8,0)</f>
        <v>0</v>
      </c>
      <c r="I76" s="29">
        <f>VLOOKUP(B76,ATL!C:K,7,0)</f>
        <v>0</v>
      </c>
      <c r="J76" t="b">
        <f t="shared" si="2"/>
        <v>1</v>
      </c>
      <c r="K76" t="b">
        <f t="shared" si="3"/>
        <v>1</v>
      </c>
    </row>
    <row r="77" spans="1:11" x14ac:dyDescent="0.3">
      <c r="A77" s="20" t="s">
        <v>334</v>
      </c>
      <c r="B77" s="19">
        <v>87995</v>
      </c>
      <c r="C77" s="25">
        <v>2.7009600000000002</v>
      </c>
      <c r="D77" s="34">
        <v>0.69</v>
      </c>
      <c r="E77" s="38">
        <v>46120</v>
      </c>
      <c r="F77" s="42">
        <v>46121</v>
      </c>
      <c r="H77" s="29">
        <f>VLOOKUP(B77,ATL!C:K,8,0)</f>
        <v>2.7009600000000002</v>
      </c>
      <c r="I77" s="29">
        <f>VLOOKUP(B77,ATL!C:K,7,0)</f>
        <v>0.69</v>
      </c>
      <c r="J77" t="b">
        <f t="shared" si="2"/>
        <v>1</v>
      </c>
      <c r="K77" t="b">
        <f t="shared" si="3"/>
        <v>1</v>
      </c>
    </row>
    <row r="78" spans="1:11" x14ac:dyDescent="0.3">
      <c r="A78" s="20" t="s">
        <v>334</v>
      </c>
      <c r="B78" s="19">
        <v>87996</v>
      </c>
      <c r="C78" s="25">
        <v>2.7009600000000002</v>
      </c>
      <c r="D78" s="34">
        <v>0.69</v>
      </c>
      <c r="E78" s="38">
        <v>46120</v>
      </c>
      <c r="F78" s="42">
        <v>46121</v>
      </c>
      <c r="H78" s="29">
        <f>VLOOKUP(B78,ATL!C:K,8,0)</f>
        <v>2.7009600000000002</v>
      </c>
      <c r="I78" s="29">
        <f>VLOOKUP(B78,ATL!C:K,7,0)</f>
        <v>0.69</v>
      </c>
      <c r="J78" t="b">
        <f t="shared" si="2"/>
        <v>1</v>
      </c>
      <c r="K78" t="b">
        <f t="shared" si="3"/>
        <v>1</v>
      </c>
    </row>
    <row r="79" spans="1:11" x14ac:dyDescent="0.3">
      <c r="A79" s="20" t="s">
        <v>334</v>
      </c>
      <c r="B79" s="19">
        <v>87997</v>
      </c>
      <c r="C79" s="25">
        <v>2.4376199999999999</v>
      </c>
      <c r="D79" s="34">
        <v>0.69</v>
      </c>
      <c r="E79" s="38">
        <v>46120</v>
      </c>
      <c r="F79" s="42">
        <v>46121</v>
      </c>
      <c r="H79" s="29">
        <f>VLOOKUP(B79,ATL!C:K,8,0)</f>
        <v>2.4376199999999999</v>
      </c>
      <c r="I79" s="29">
        <f>VLOOKUP(B79,ATL!C:K,7,0)</f>
        <v>0.69</v>
      </c>
      <c r="J79" t="b">
        <f t="shared" si="2"/>
        <v>1</v>
      </c>
      <c r="K79" t="b">
        <f t="shared" si="3"/>
        <v>1</v>
      </c>
    </row>
    <row r="80" spans="1:11" x14ac:dyDescent="0.3">
      <c r="A80" s="20" t="s">
        <v>334</v>
      </c>
      <c r="B80" s="19">
        <v>87998</v>
      </c>
      <c r="C80" s="25">
        <v>2.4376199999999999</v>
      </c>
      <c r="D80" s="34">
        <v>0.69</v>
      </c>
      <c r="E80" s="38">
        <v>46120</v>
      </c>
      <c r="F80" s="42">
        <v>46121</v>
      </c>
      <c r="H80" s="29">
        <f>VLOOKUP(B80,ATL!C:K,8,0)</f>
        <v>2.4376199999999999</v>
      </c>
      <c r="I80" s="29">
        <f>VLOOKUP(B80,ATL!C:K,7,0)</f>
        <v>0.69</v>
      </c>
      <c r="J80" t="b">
        <f t="shared" si="2"/>
        <v>1</v>
      </c>
      <c r="K80" t="b">
        <f t="shared" si="3"/>
        <v>1</v>
      </c>
    </row>
    <row r="81" spans="1:11" x14ac:dyDescent="0.3">
      <c r="A81" s="20" t="s">
        <v>334</v>
      </c>
      <c r="B81" s="19">
        <v>87999</v>
      </c>
      <c r="C81" s="25">
        <v>2.7009600000000002</v>
      </c>
      <c r="D81" s="34">
        <v>0.69</v>
      </c>
      <c r="E81" s="38">
        <v>46120</v>
      </c>
      <c r="F81" s="42">
        <v>46121</v>
      </c>
      <c r="H81" s="29">
        <f>VLOOKUP(B81,ATL!C:K,8,0)</f>
        <v>2.7009600000000002</v>
      </c>
      <c r="I81" s="29">
        <f>VLOOKUP(B81,ATL!C:K,7,0)</f>
        <v>0.69</v>
      </c>
      <c r="J81" t="b">
        <f t="shared" si="2"/>
        <v>1</v>
      </c>
      <c r="K81" t="b">
        <f t="shared" si="3"/>
        <v>1</v>
      </c>
    </row>
    <row r="82" spans="1:11" x14ac:dyDescent="0.3">
      <c r="A82" s="20" t="s">
        <v>334</v>
      </c>
      <c r="B82" s="19">
        <v>88000</v>
      </c>
      <c r="C82" s="25">
        <v>2.7009600000000002</v>
      </c>
      <c r="D82" s="34">
        <v>0.69</v>
      </c>
      <c r="E82" s="38">
        <v>46120</v>
      </c>
      <c r="F82" s="42">
        <v>46121</v>
      </c>
      <c r="H82" s="29">
        <f>VLOOKUP(B82,ATL!C:K,8,0)</f>
        <v>2.7009600000000002</v>
      </c>
      <c r="I82" s="29">
        <f>VLOOKUP(B82,ATL!C:K,7,0)</f>
        <v>0.69</v>
      </c>
      <c r="J82" t="b">
        <f t="shared" si="2"/>
        <v>1</v>
      </c>
      <c r="K82" t="b">
        <f t="shared" si="3"/>
        <v>1</v>
      </c>
    </row>
    <row r="83" spans="1:11" x14ac:dyDescent="0.3">
      <c r="A83" s="20" t="s">
        <v>334</v>
      </c>
      <c r="B83" s="19">
        <v>88005</v>
      </c>
      <c r="C83" s="25">
        <v>0.29120000000000001</v>
      </c>
      <c r="D83" s="34">
        <v>0</v>
      </c>
      <c r="E83" s="38">
        <v>46120</v>
      </c>
      <c r="F83" s="42">
        <v>46121</v>
      </c>
      <c r="H83" s="29">
        <f>VLOOKUP(B83,ATL!C:K,8,0)</f>
        <v>0.29120000000000001</v>
      </c>
      <c r="I83" s="29">
        <f>VLOOKUP(B83,ATL!C:K,7,0)</f>
        <v>0</v>
      </c>
      <c r="J83" t="b">
        <f t="shared" si="2"/>
        <v>1</v>
      </c>
      <c r="K83" t="b">
        <f t="shared" si="3"/>
        <v>1</v>
      </c>
    </row>
    <row r="84" spans="1:11" x14ac:dyDescent="0.3">
      <c r="A84" s="20" t="s">
        <v>334</v>
      </c>
      <c r="B84" s="19">
        <v>88269</v>
      </c>
      <c r="C84" s="25">
        <v>1.7684820000000001</v>
      </c>
      <c r="D84" s="34">
        <v>0</v>
      </c>
      <c r="E84" s="38">
        <v>46120</v>
      </c>
      <c r="F84" s="42">
        <v>46121</v>
      </c>
      <c r="H84" s="29">
        <f>VLOOKUP(B84,ATL!C:K,8,0)</f>
        <v>1.7684820000000001</v>
      </c>
      <c r="I84" s="29">
        <f>VLOOKUP(B84,ATL!C:K,7,0)</f>
        <v>0</v>
      </c>
      <c r="J84" t="b">
        <f t="shared" si="2"/>
        <v>1</v>
      </c>
      <c r="K84" t="b">
        <f t="shared" si="3"/>
        <v>1</v>
      </c>
    </row>
    <row r="85" spans="1:11" x14ac:dyDescent="0.3">
      <c r="A85" s="20" t="s">
        <v>334</v>
      </c>
      <c r="B85" s="19">
        <v>88270</v>
      </c>
      <c r="C85" s="25">
        <v>1.7684820000000001</v>
      </c>
      <c r="D85" s="34">
        <v>0</v>
      </c>
      <c r="E85" s="38">
        <v>46120</v>
      </c>
      <c r="F85" s="42">
        <v>46121</v>
      </c>
      <c r="H85" s="29">
        <f>VLOOKUP(B85,ATL!C:K,8,0)</f>
        <v>1.7684820000000001</v>
      </c>
      <c r="I85" s="29">
        <f>VLOOKUP(B85,ATL!C:K,7,0)</f>
        <v>0</v>
      </c>
      <c r="J85" t="b">
        <f t="shared" si="2"/>
        <v>1</v>
      </c>
      <c r="K85" t="b">
        <f t="shared" si="3"/>
        <v>1</v>
      </c>
    </row>
    <row r="86" spans="1:11" x14ac:dyDescent="0.3">
      <c r="A86" s="20" t="s">
        <v>334</v>
      </c>
      <c r="B86" s="19">
        <v>88271</v>
      </c>
      <c r="C86" s="25">
        <v>1.8913614600000002</v>
      </c>
      <c r="D86" s="34">
        <v>0</v>
      </c>
      <c r="E86" s="38">
        <v>46120</v>
      </c>
      <c r="F86" s="42">
        <v>46121</v>
      </c>
      <c r="H86" s="29">
        <f>VLOOKUP(B86,ATL!C:K,8,0)</f>
        <v>1.8913614600000002</v>
      </c>
      <c r="I86" s="29">
        <f>VLOOKUP(B86,ATL!C:K,7,0)</f>
        <v>0</v>
      </c>
      <c r="J86" t="b">
        <f t="shared" si="2"/>
        <v>1</v>
      </c>
      <c r="K86" t="b">
        <f t="shared" si="3"/>
        <v>1</v>
      </c>
    </row>
    <row r="87" spans="1:11" x14ac:dyDescent="0.3">
      <c r="A87" s="20" t="s">
        <v>334</v>
      </c>
      <c r="B87" s="19">
        <v>88272</v>
      </c>
      <c r="C87" s="25">
        <v>1.8913614600000002</v>
      </c>
      <c r="D87" s="34">
        <v>0</v>
      </c>
      <c r="E87" s="38">
        <v>46120</v>
      </c>
      <c r="F87" s="42">
        <v>46121</v>
      </c>
      <c r="H87" s="29">
        <f>VLOOKUP(B87,ATL!C:K,8,0)</f>
        <v>1.8913614600000002</v>
      </c>
      <c r="I87" s="29">
        <f>VLOOKUP(B87,ATL!C:K,7,0)</f>
        <v>0</v>
      </c>
      <c r="J87" t="b">
        <f t="shared" si="2"/>
        <v>1</v>
      </c>
      <c r="K87" t="b">
        <f t="shared" si="3"/>
        <v>1</v>
      </c>
    </row>
    <row r="88" spans="1:11" x14ac:dyDescent="0.3">
      <c r="A88" s="20" t="s">
        <v>334</v>
      </c>
      <c r="B88" s="19">
        <v>88284</v>
      </c>
      <c r="C88" s="25">
        <v>1.0780000000000001</v>
      </c>
      <c r="D88" s="34">
        <v>0</v>
      </c>
      <c r="E88" s="38">
        <v>46120</v>
      </c>
      <c r="F88" s="42">
        <v>46121</v>
      </c>
      <c r="H88" s="29">
        <f>VLOOKUP(B88,ATL!C:K,8,0)</f>
        <v>1.0780000000000001</v>
      </c>
      <c r="I88" s="29">
        <f>VLOOKUP(B88,ATL!C:K,7,0)</f>
        <v>0</v>
      </c>
      <c r="J88" t="b">
        <f t="shared" si="2"/>
        <v>1</v>
      </c>
      <c r="K88" t="b">
        <f t="shared" si="3"/>
        <v>1</v>
      </c>
    </row>
    <row r="89" spans="1:11" x14ac:dyDescent="0.3">
      <c r="A89" s="20" t="s">
        <v>334</v>
      </c>
      <c r="B89" s="19">
        <v>88285</v>
      </c>
      <c r="C89" s="25">
        <v>1.1515</v>
      </c>
      <c r="D89" s="34">
        <v>0</v>
      </c>
      <c r="E89" s="38">
        <v>46120</v>
      </c>
      <c r="F89" s="42">
        <v>46121</v>
      </c>
      <c r="H89" s="29">
        <f>VLOOKUP(B89,ATL!C:K,8,0)</f>
        <v>1.1515</v>
      </c>
      <c r="I89" s="29">
        <f>VLOOKUP(B89,ATL!C:K,7,0)</f>
        <v>0</v>
      </c>
      <c r="J89" t="b">
        <f t="shared" si="2"/>
        <v>1</v>
      </c>
      <c r="K89" t="b">
        <f t="shared" si="3"/>
        <v>1</v>
      </c>
    </row>
    <row r="90" spans="1:11" x14ac:dyDescent="0.3">
      <c r="A90" s="20" t="s">
        <v>334</v>
      </c>
      <c r="B90" s="19">
        <v>88475</v>
      </c>
      <c r="C90" s="25">
        <v>0.45087000000000005</v>
      </c>
      <c r="D90" s="34">
        <v>0</v>
      </c>
      <c r="E90" s="38">
        <v>46120</v>
      </c>
      <c r="F90" s="42">
        <v>46121</v>
      </c>
      <c r="H90" s="29">
        <f>VLOOKUP(B90,ATL!C:K,8,0)</f>
        <v>0.45087000000000005</v>
      </c>
      <c r="I90" s="29">
        <f>VLOOKUP(B90,ATL!C:K,7,0)</f>
        <v>0</v>
      </c>
      <c r="J90" t="b">
        <f t="shared" si="2"/>
        <v>1</v>
      </c>
      <c r="K90" t="b">
        <f t="shared" si="3"/>
        <v>1</v>
      </c>
    </row>
    <row r="91" spans="1:11" x14ac:dyDescent="0.3">
      <c r="A91" s="20" t="s">
        <v>334</v>
      </c>
      <c r="B91" s="19">
        <v>88596</v>
      </c>
      <c r="C91" s="25">
        <v>0.29120000000000001</v>
      </c>
      <c r="D91" s="34">
        <v>0</v>
      </c>
      <c r="E91" s="38">
        <v>46120</v>
      </c>
      <c r="F91" s="42">
        <v>46121</v>
      </c>
      <c r="H91" s="29">
        <f>VLOOKUP(B91,ATL!C:K,8,0)</f>
        <v>0.29120000000000001</v>
      </c>
      <c r="I91" s="29">
        <f>VLOOKUP(B91,ATL!C:K,7,0)</f>
        <v>0</v>
      </c>
      <c r="J91" t="b">
        <f t="shared" si="2"/>
        <v>1</v>
      </c>
      <c r="K91" t="b">
        <f t="shared" si="3"/>
        <v>1</v>
      </c>
    </row>
    <row r="92" spans="1:11" x14ac:dyDescent="0.3">
      <c r="A92" s="20" t="s">
        <v>334</v>
      </c>
      <c r="B92" s="19">
        <v>88738</v>
      </c>
      <c r="C92" s="25">
        <v>0.51600000000000001</v>
      </c>
      <c r="D92" s="34">
        <v>0.34499999999999997</v>
      </c>
      <c r="E92" s="38">
        <v>46120</v>
      </c>
      <c r="F92" s="42">
        <v>46121</v>
      </c>
      <c r="H92" s="29">
        <f>VLOOKUP(B92,ATL!C:K,8,0)</f>
        <v>0.51600000000000001</v>
      </c>
      <c r="I92" s="29">
        <f>VLOOKUP(B92,ATL!C:K,7,0)</f>
        <v>0.34499999999999997</v>
      </c>
      <c r="J92" t="b">
        <f t="shared" si="2"/>
        <v>1</v>
      </c>
      <c r="K92" t="b">
        <f t="shared" si="3"/>
        <v>1</v>
      </c>
    </row>
    <row r="93" spans="1:11" x14ac:dyDescent="0.3">
      <c r="A93" s="20" t="s">
        <v>334</v>
      </c>
      <c r="B93" s="19">
        <v>88802</v>
      </c>
      <c r="C93" s="25">
        <v>0.51600000000000001</v>
      </c>
      <c r="D93" s="34">
        <v>0.34499999999999997</v>
      </c>
      <c r="E93" s="38">
        <v>46120</v>
      </c>
      <c r="F93" s="42">
        <v>46121</v>
      </c>
      <c r="H93" s="29">
        <f>VLOOKUP(B93,ATL!C:K,8,0)</f>
        <v>0.51600000000000001</v>
      </c>
      <c r="I93" s="29">
        <f>VLOOKUP(B93,ATL!C:K,7,0)</f>
        <v>0.34499999999999997</v>
      </c>
      <c r="J93" t="b">
        <f t="shared" si="2"/>
        <v>1</v>
      </c>
      <c r="K93" t="b">
        <f t="shared" si="3"/>
        <v>1</v>
      </c>
    </row>
    <row r="94" spans="1:11" x14ac:dyDescent="0.3">
      <c r="A94" s="20" t="s">
        <v>334</v>
      </c>
      <c r="B94" s="19">
        <v>88803</v>
      </c>
      <c r="C94" s="25">
        <v>0.72223948660714288</v>
      </c>
      <c r="D94" s="34">
        <v>0.34499999999999997</v>
      </c>
      <c r="E94" s="38">
        <v>46120</v>
      </c>
      <c r="F94" s="42">
        <v>46121</v>
      </c>
      <c r="H94" s="29">
        <f>VLOOKUP(B94,ATL!C:K,8,0)</f>
        <v>0.72223948660714288</v>
      </c>
      <c r="I94" s="29">
        <f>VLOOKUP(B94,ATL!C:K,7,0)</f>
        <v>0.34499999999999997</v>
      </c>
      <c r="J94" t="b">
        <f t="shared" si="2"/>
        <v>1</v>
      </c>
      <c r="K94" t="b">
        <f t="shared" si="3"/>
        <v>1</v>
      </c>
    </row>
    <row r="95" spans="1:11" x14ac:dyDescent="0.3">
      <c r="A95" s="20" t="s">
        <v>334</v>
      </c>
      <c r="B95" s="19">
        <v>88804</v>
      </c>
      <c r="C95" s="25">
        <v>0.72223948660714288</v>
      </c>
      <c r="D95" s="34">
        <v>0.34499999999999997</v>
      </c>
      <c r="E95" s="38">
        <v>46120</v>
      </c>
      <c r="F95" s="42">
        <v>46121</v>
      </c>
      <c r="H95" s="29">
        <f>VLOOKUP(B95,ATL!C:K,8,0)</f>
        <v>0.72223948660714288</v>
      </c>
      <c r="I95" s="29">
        <f>VLOOKUP(B95,ATL!C:K,7,0)</f>
        <v>0.34499999999999997</v>
      </c>
      <c r="J95" t="b">
        <f t="shared" si="2"/>
        <v>1</v>
      </c>
      <c r="K95" t="b">
        <f t="shared" si="3"/>
        <v>1</v>
      </c>
    </row>
    <row r="96" spans="1:11" x14ac:dyDescent="0.3">
      <c r="A96" s="20" t="s">
        <v>334</v>
      </c>
      <c r="B96" s="19">
        <v>89758</v>
      </c>
      <c r="C96" s="25">
        <v>0.1232</v>
      </c>
      <c r="D96" s="34">
        <v>0</v>
      </c>
      <c r="E96" s="38">
        <v>46120</v>
      </c>
      <c r="F96" s="42">
        <v>46121</v>
      </c>
      <c r="H96" s="29">
        <f>VLOOKUP(B96,ATL!C:K,8,0)</f>
        <v>0.1232</v>
      </c>
      <c r="I96" s="29">
        <f>VLOOKUP(B96,ATL!C:K,7,0)</f>
        <v>0</v>
      </c>
      <c r="J96" t="b">
        <f t="shared" si="2"/>
        <v>1</v>
      </c>
      <c r="K96" t="b">
        <f t="shared" si="3"/>
        <v>1</v>
      </c>
    </row>
    <row r="97" spans="1:11" x14ac:dyDescent="0.3">
      <c r="A97" s="20" t="s">
        <v>334</v>
      </c>
      <c r="B97" s="19">
        <v>89759</v>
      </c>
      <c r="C97" s="25">
        <v>0.1232</v>
      </c>
      <c r="D97" s="34">
        <v>0</v>
      </c>
      <c r="E97" s="38">
        <v>46120</v>
      </c>
      <c r="F97" s="42">
        <v>46121</v>
      </c>
      <c r="H97" s="29">
        <f>VLOOKUP(B97,ATL!C:K,8,0)</f>
        <v>0.1232</v>
      </c>
      <c r="I97" s="29">
        <f>VLOOKUP(B97,ATL!C:K,7,0)</f>
        <v>0</v>
      </c>
      <c r="J97" t="b">
        <f t="shared" si="2"/>
        <v>1</v>
      </c>
      <c r="K97" t="b">
        <f t="shared" si="3"/>
        <v>1</v>
      </c>
    </row>
    <row r="98" spans="1:11" x14ac:dyDescent="0.3">
      <c r="A98" s="20" t="s">
        <v>334</v>
      </c>
      <c r="B98" s="19">
        <v>89769</v>
      </c>
      <c r="C98" s="25">
        <v>0.29120000000000001</v>
      </c>
      <c r="D98" s="34">
        <v>0</v>
      </c>
      <c r="E98" s="38">
        <v>46120</v>
      </c>
      <c r="F98" s="42">
        <v>46121</v>
      </c>
      <c r="H98" s="29">
        <f>VLOOKUP(B98,ATL!C:K,8,0)</f>
        <v>0.29120000000000001</v>
      </c>
      <c r="I98" s="29">
        <f>VLOOKUP(B98,ATL!C:K,7,0)</f>
        <v>0</v>
      </c>
      <c r="J98" t="b">
        <f t="shared" si="2"/>
        <v>1</v>
      </c>
      <c r="K98" t="b">
        <f t="shared" si="3"/>
        <v>1</v>
      </c>
    </row>
    <row r="99" spans="1:11" x14ac:dyDescent="0.3">
      <c r="A99" s="20" t="s">
        <v>334</v>
      </c>
      <c r="B99" s="19">
        <v>89828</v>
      </c>
      <c r="C99" s="25">
        <v>2.6281999999999996</v>
      </c>
      <c r="D99" s="34">
        <v>0.19779999999999998</v>
      </c>
      <c r="E99" s="38">
        <v>46120</v>
      </c>
      <c r="F99" s="42">
        <v>46121</v>
      </c>
      <c r="H99" s="29">
        <f>VLOOKUP(B99,ATL!C:K,8,0)</f>
        <v>2.6281999999999996</v>
      </c>
      <c r="I99" s="29">
        <f>VLOOKUP(B99,ATL!C:K,7,0)</f>
        <v>0.19779999999999998</v>
      </c>
      <c r="J99" t="b">
        <f t="shared" si="2"/>
        <v>1</v>
      </c>
      <c r="K99" t="b">
        <f t="shared" si="3"/>
        <v>1</v>
      </c>
    </row>
    <row r="100" spans="1:11" x14ac:dyDescent="0.3">
      <c r="A100" s="20" t="s">
        <v>334</v>
      </c>
      <c r="B100" s="19">
        <v>89829</v>
      </c>
      <c r="C100" s="25">
        <v>0.29120000000000001</v>
      </c>
      <c r="D100" s="34">
        <v>0</v>
      </c>
      <c r="E100" s="38">
        <v>46120</v>
      </c>
      <c r="F100" s="42">
        <v>46121</v>
      </c>
      <c r="H100" s="29">
        <f>VLOOKUP(B100,ATL!C:K,8,0)</f>
        <v>0.29120000000000001</v>
      </c>
      <c r="I100" s="29">
        <f>VLOOKUP(B100,ATL!C:K,7,0)</f>
        <v>0</v>
      </c>
      <c r="J100" t="b">
        <f t="shared" si="2"/>
        <v>1</v>
      </c>
      <c r="K100" t="b">
        <f t="shared" si="3"/>
        <v>1</v>
      </c>
    </row>
    <row r="101" spans="1:11" x14ac:dyDescent="0.3">
      <c r="A101" s="20" t="s">
        <v>334</v>
      </c>
      <c r="B101" s="19">
        <v>89878</v>
      </c>
      <c r="C101" s="25">
        <v>1.7445548564478761</v>
      </c>
      <c r="D101" s="34">
        <v>0.69</v>
      </c>
      <c r="E101" s="38">
        <v>46120</v>
      </c>
      <c r="F101" s="42">
        <v>46121</v>
      </c>
      <c r="H101" s="29">
        <f>VLOOKUP(B101,ATL!C:K,8,0)</f>
        <v>1.7445548564478761</v>
      </c>
      <c r="I101" s="29">
        <f>VLOOKUP(B101,ATL!C:K,7,0)</f>
        <v>0.69</v>
      </c>
      <c r="J101" t="b">
        <f t="shared" si="2"/>
        <v>1</v>
      </c>
      <c r="K101" t="b">
        <f t="shared" si="3"/>
        <v>1</v>
      </c>
    </row>
    <row r="102" spans="1:11" x14ac:dyDescent="0.3">
      <c r="A102" s="20" t="s">
        <v>334</v>
      </c>
      <c r="B102" s="19">
        <v>89879</v>
      </c>
      <c r="C102" s="25">
        <v>1.7445548564478761</v>
      </c>
      <c r="D102" s="34">
        <v>0.69</v>
      </c>
      <c r="E102" s="38">
        <v>46120</v>
      </c>
      <c r="F102" s="42">
        <v>46121</v>
      </c>
      <c r="H102" s="29">
        <f>VLOOKUP(B102,ATL!C:K,8,0)</f>
        <v>1.7445548564478761</v>
      </c>
      <c r="I102" s="29">
        <f>VLOOKUP(B102,ATL!C:K,7,0)</f>
        <v>0.69</v>
      </c>
      <c r="J102" t="b">
        <f t="shared" si="2"/>
        <v>1</v>
      </c>
      <c r="K102" t="b">
        <f t="shared" si="3"/>
        <v>1</v>
      </c>
    </row>
    <row r="103" spans="1:11" x14ac:dyDescent="0.3">
      <c r="A103" s="20" t="s">
        <v>334</v>
      </c>
      <c r="B103" s="19">
        <v>89880</v>
      </c>
      <c r="C103" s="25">
        <v>0.10948559999999999</v>
      </c>
      <c r="D103" s="34">
        <v>0</v>
      </c>
      <c r="E103" s="38">
        <v>46120</v>
      </c>
      <c r="F103" s="42">
        <v>46121</v>
      </c>
      <c r="H103" s="29">
        <f>VLOOKUP(B103,ATL!C:K,8,0)</f>
        <v>0.10948559999999999</v>
      </c>
      <c r="I103" s="29">
        <f>VLOOKUP(B103,ATL!C:K,7,0)</f>
        <v>0</v>
      </c>
      <c r="J103" t="b">
        <f t="shared" si="2"/>
        <v>1</v>
      </c>
      <c r="K103" t="b">
        <f t="shared" si="3"/>
        <v>1</v>
      </c>
    </row>
    <row r="104" spans="1:11" x14ac:dyDescent="0.3">
      <c r="A104" s="20" t="s">
        <v>334</v>
      </c>
      <c r="B104" s="19">
        <v>89954</v>
      </c>
      <c r="C104" s="25">
        <v>0.29120000000000001</v>
      </c>
      <c r="D104" s="34">
        <v>0</v>
      </c>
      <c r="E104" s="38">
        <v>46120</v>
      </c>
      <c r="F104" s="42">
        <v>46121</v>
      </c>
      <c r="H104" s="29">
        <f>VLOOKUP(B104,ATL!C:K,8,0)</f>
        <v>0.29120000000000001</v>
      </c>
      <c r="I104" s="29">
        <f>VLOOKUP(B104,ATL!C:K,7,0)</f>
        <v>0</v>
      </c>
      <c r="J104" t="b">
        <f t="shared" si="2"/>
        <v>1</v>
      </c>
      <c r="K104" t="b">
        <f t="shared" si="3"/>
        <v>1</v>
      </c>
    </row>
    <row r="105" spans="1:11" x14ac:dyDescent="0.3">
      <c r="A105" s="20" t="s">
        <v>334</v>
      </c>
      <c r="B105" s="19">
        <v>90262</v>
      </c>
      <c r="C105" s="25">
        <v>2.7990000000000004</v>
      </c>
      <c r="D105" s="34">
        <v>0.69</v>
      </c>
      <c r="E105" s="38">
        <v>46120</v>
      </c>
      <c r="F105" s="42">
        <v>46121</v>
      </c>
      <c r="H105" s="29">
        <f>VLOOKUP(B105,ATL!C:K,8,0)</f>
        <v>2.7990000000000004</v>
      </c>
      <c r="I105" s="29">
        <f>VLOOKUP(B105,ATL!C:K,7,0)</f>
        <v>0.69</v>
      </c>
      <c r="J105" t="b">
        <f t="shared" si="2"/>
        <v>1</v>
      </c>
      <c r="K105" t="b">
        <f t="shared" si="3"/>
        <v>1</v>
      </c>
    </row>
    <row r="106" spans="1:11" x14ac:dyDescent="0.3">
      <c r="A106" s="20" t="s">
        <v>334</v>
      </c>
      <c r="B106" s="19">
        <v>90263</v>
      </c>
      <c r="C106" s="25">
        <v>2.7990000000000004</v>
      </c>
      <c r="D106" s="34">
        <v>0.69</v>
      </c>
      <c r="E106" s="38">
        <v>46120</v>
      </c>
      <c r="F106" s="42">
        <v>46121</v>
      </c>
      <c r="H106" s="29">
        <f>VLOOKUP(B106,ATL!C:K,8,0)</f>
        <v>2.7990000000000004</v>
      </c>
      <c r="I106" s="29">
        <f>VLOOKUP(B106,ATL!C:K,7,0)</f>
        <v>0.69</v>
      </c>
      <c r="J106" t="b">
        <f t="shared" si="2"/>
        <v>1</v>
      </c>
      <c r="K106" t="b">
        <f t="shared" si="3"/>
        <v>1</v>
      </c>
    </row>
    <row r="107" spans="1:11" x14ac:dyDescent="0.3">
      <c r="A107" s="20" t="s">
        <v>334</v>
      </c>
      <c r="B107" s="19">
        <v>90264</v>
      </c>
      <c r="C107" s="25">
        <v>0.77781199999999995</v>
      </c>
      <c r="D107" s="34">
        <v>0</v>
      </c>
      <c r="E107" s="38">
        <v>46120</v>
      </c>
      <c r="F107" s="42">
        <v>46121</v>
      </c>
      <c r="H107" s="29">
        <f>VLOOKUP(B107,ATL!C:K,8,0)</f>
        <v>0.77781199999999995</v>
      </c>
      <c r="I107" s="29">
        <f>VLOOKUP(B107,ATL!C:K,7,0)</f>
        <v>0</v>
      </c>
      <c r="J107" t="b">
        <f t="shared" si="2"/>
        <v>1</v>
      </c>
      <c r="K107" t="b">
        <f t="shared" si="3"/>
        <v>1</v>
      </c>
    </row>
    <row r="108" spans="1:11" x14ac:dyDescent="0.3">
      <c r="A108" s="20" t="s">
        <v>334</v>
      </c>
      <c r="B108" s="19">
        <v>90266</v>
      </c>
      <c r="C108" s="25">
        <v>2.5015999999999998</v>
      </c>
      <c r="D108" s="34">
        <v>0.57499999999999984</v>
      </c>
      <c r="E108" s="38">
        <v>46120</v>
      </c>
      <c r="F108" s="42">
        <v>46121</v>
      </c>
      <c r="H108" s="29">
        <f>VLOOKUP(B108,ATL!C:K,8,0)</f>
        <v>2.5015999999999998</v>
      </c>
      <c r="I108" s="29">
        <f>VLOOKUP(B108,ATL!C:K,7,0)</f>
        <v>0.57499999999999984</v>
      </c>
      <c r="J108" t="b">
        <f t="shared" si="2"/>
        <v>1</v>
      </c>
      <c r="K108" t="b">
        <f t="shared" si="3"/>
        <v>1</v>
      </c>
    </row>
    <row r="109" spans="1:11" x14ac:dyDescent="0.3">
      <c r="A109" s="20" t="s">
        <v>334</v>
      </c>
      <c r="B109" s="19">
        <v>90267</v>
      </c>
      <c r="C109" s="25">
        <v>2.26753121</v>
      </c>
      <c r="D109" s="34">
        <v>0.57499999999999984</v>
      </c>
      <c r="E109" s="38">
        <v>46120</v>
      </c>
      <c r="F109" s="42">
        <v>46121</v>
      </c>
      <c r="H109" s="29">
        <f>VLOOKUP(B109,ATL!C:K,8,0)</f>
        <v>2.26753121</v>
      </c>
      <c r="I109" s="29">
        <f>VLOOKUP(B109,ATL!C:K,7,0)</f>
        <v>0.57499999999999984</v>
      </c>
      <c r="J109" t="b">
        <f t="shared" si="2"/>
        <v>1</v>
      </c>
      <c r="K109" t="b">
        <f t="shared" si="3"/>
        <v>1</v>
      </c>
    </row>
    <row r="110" spans="1:11" x14ac:dyDescent="0.3">
      <c r="A110" s="20" t="s">
        <v>334</v>
      </c>
      <c r="B110" s="19">
        <v>90268</v>
      </c>
      <c r="C110" s="25">
        <v>2.26753121</v>
      </c>
      <c r="D110" s="34">
        <v>0.57499999999999984</v>
      </c>
      <c r="E110" s="38">
        <v>46120</v>
      </c>
      <c r="F110" s="42">
        <v>46121</v>
      </c>
      <c r="H110" s="29">
        <f>VLOOKUP(B110,ATL!C:K,8,0)</f>
        <v>2.26753121</v>
      </c>
      <c r="I110" s="29">
        <f>VLOOKUP(B110,ATL!C:K,7,0)</f>
        <v>0.57499999999999984</v>
      </c>
      <c r="J110" t="b">
        <f t="shared" si="2"/>
        <v>1</v>
      </c>
      <c r="K110" t="b">
        <f t="shared" si="3"/>
        <v>1</v>
      </c>
    </row>
    <row r="111" spans="1:11" x14ac:dyDescent="0.3">
      <c r="A111" s="20" t="s">
        <v>334</v>
      </c>
      <c r="B111" s="19">
        <v>90269</v>
      </c>
      <c r="C111" s="25">
        <v>2.1061727599999998</v>
      </c>
      <c r="D111" s="34">
        <v>0.57499999999999984</v>
      </c>
      <c r="E111" s="38">
        <v>46120</v>
      </c>
      <c r="F111" s="42">
        <v>46121</v>
      </c>
      <c r="H111" s="29">
        <f>VLOOKUP(B111,ATL!C:K,8,0)</f>
        <v>2.1061727599999998</v>
      </c>
      <c r="I111" s="29">
        <f>VLOOKUP(B111,ATL!C:K,7,0)</f>
        <v>0.57499999999999984</v>
      </c>
      <c r="J111" t="b">
        <f t="shared" si="2"/>
        <v>1</v>
      </c>
      <c r="K111" t="b">
        <f t="shared" si="3"/>
        <v>1</v>
      </c>
    </row>
    <row r="112" spans="1:11" x14ac:dyDescent="0.3">
      <c r="A112" s="20" t="s">
        <v>334</v>
      </c>
      <c r="B112" s="19">
        <v>90321</v>
      </c>
      <c r="C112" s="25">
        <v>2.6840000000000002</v>
      </c>
      <c r="D112" s="34">
        <v>0.57499999999999984</v>
      </c>
      <c r="E112" s="38">
        <v>46120</v>
      </c>
      <c r="F112" s="42">
        <v>46121</v>
      </c>
      <c r="H112" s="29">
        <f>VLOOKUP(B112,ATL!C:K,8,0)</f>
        <v>2.6840000000000002</v>
      </c>
      <c r="I112" s="29">
        <f>VLOOKUP(B112,ATL!C:K,7,0)</f>
        <v>0.57499999999999984</v>
      </c>
      <c r="J112" t="b">
        <f t="shared" si="2"/>
        <v>1</v>
      </c>
      <c r="K112" t="b">
        <f t="shared" si="3"/>
        <v>1</v>
      </c>
    </row>
    <row r="113" spans="1:11" x14ac:dyDescent="0.3">
      <c r="A113" s="20" t="s">
        <v>334</v>
      </c>
      <c r="B113" s="19">
        <v>90322</v>
      </c>
      <c r="C113" s="25">
        <v>2.5015999999999998</v>
      </c>
      <c r="D113" s="34">
        <v>0.57499999999999984</v>
      </c>
      <c r="E113" s="38">
        <v>46120</v>
      </c>
      <c r="F113" s="42">
        <v>46121</v>
      </c>
      <c r="H113" s="29">
        <f>VLOOKUP(B113,ATL!C:K,8,0)</f>
        <v>2.5015999999999998</v>
      </c>
      <c r="I113" s="29">
        <f>VLOOKUP(B113,ATL!C:K,7,0)</f>
        <v>0.57499999999999984</v>
      </c>
      <c r="J113" t="b">
        <f t="shared" si="2"/>
        <v>1</v>
      </c>
      <c r="K113" t="b">
        <f t="shared" si="3"/>
        <v>1</v>
      </c>
    </row>
    <row r="114" spans="1:11" x14ac:dyDescent="0.3">
      <c r="A114" s="20" t="s">
        <v>334</v>
      </c>
      <c r="B114" s="19">
        <v>90323</v>
      </c>
      <c r="C114" s="25">
        <v>2.1061727599999998</v>
      </c>
      <c r="D114" s="34">
        <v>0.57499999999999984</v>
      </c>
      <c r="E114" s="38">
        <v>46120</v>
      </c>
      <c r="F114" s="42">
        <v>46121</v>
      </c>
      <c r="H114" s="29">
        <f>VLOOKUP(B114,ATL!C:K,8,0)</f>
        <v>2.1061727599999998</v>
      </c>
      <c r="I114" s="29">
        <f>VLOOKUP(B114,ATL!C:K,7,0)</f>
        <v>0.57499999999999984</v>
      </c>
      <c r="J114" t="b">
        <f t="shared" si="2"/>
        <v>1</v>
      </c>
      <c r="K114" t="b">
        <f t="shared" si="3"/>
        <v>1</v>
      </c>
    </row>
    <row r="115" spans="1:11" x14ac:dyDescent="0.3">
      <c r="A115" s="20" t="s">
        <v>334</v>
      </c>
      <c r="B115" s="19">
        <v>90597</v>
      </c>
      <c r="C115" s="25">
        <v>1.9972188612708013</v>
      </c>
      <c r="D115" s="34">
        <v>1.2649999999999997</v>
      </c>
      <c r="E115" s="38">
        <v>46120</v>
      </c>
      <c r="F115" s="42">
        <v>46121</v>
      </c>
      <c r="H115" s="29">
        <f>VLOOKUP(B115,ATL!C:K,8,0)</f>
        <v>1.9972188612708013</v>
      </c>
      <c r="I115" s="29">
        <f>VLOOKUP(B115,ATL!C:K,7,0)</f>
        <v>1.2649999999999997</v>
      </c>
      <c r="J115" t="b">
        <f t="shared" si="2"/>
        <v>1</v>
      </c>
      <c r="K115" t="b">
        <f t="shared" si="3"/>
        <v>1</v>
      </c>
    </row>
    <row r="116" spans="1:11" x14ac:dyDescent="0.3">
      <c r="A116" s="20" t="s">
        <v>334</v>
      </c>
      <c r="B116" s="19">
        <v>90599</v>
      </c>
      <c r="C116" s="25">
        <v>4.1526650329334789</v>
      </c>
      <c r="D116" s="34">
        <v>1.38</v>
      </c>
      <c r="E116" s="38">
        <v>46120</v>
      </c>
      <c r="F116" s="42">
        <v>46121</v>
      </c>
      <c r="H116" s="29">
        <f>VLOOKUP(B116,ATL!C:K,8,0)</f>
        <v>4.1526650329334789</v>
      </c>
      <c r="I116" s="29">
        <f>VLOOKUP(B116,ATL!C:K,7,0)</f>
        <v>1.38</v>
      </c>
      <c r="J116" t="b">
        <f t="shared" si="2"/>
        <v>1</v>
      </c>
      <c r="K116" t="b">
        <f t="shared" si="3"/>
        <v>1</v>
      </c>
    </row>
    <row r="117" spans="1:11" x14ac:dyDescent="0.3">
      <c r="A117" s="20" t="s">
        <v>334</v>
      </c>
      <c r="B117" s="19">
        <v>90600</v>
      </c>
      <c r="C117" s="25">
        <v>3.0697751314915154</v>
      </c>
      <c r="D117" s="34">
        <v>1.38</v>
      </c>
      <c r="E117" s="38">
        <v>46120</v>
      </c>
      <c r="F117" s="42">
        <v>46121</v>
      </c>
      <c r="H117" s="29">
        <f>VLOOKUP(B117,ATL!C:K,8,0)</f>
        <v>3.0697751314915154</v>
      </c>
      <c r="I117" s="29">
        <f>VLOOKUP(B117,ATL!C:K,7,0)</f>
        <v>1.38</v>
      </c>
      <c r="J117" t="b">
        <f t="shared" si="2"/>
        <v>1</v>
      </c>
      <c r="K117" t="b">
        <f t="shared" si="3"/>
        <v>1</v>
      </c>
    </row>
    <row r="118" spans="1:11" x14ac:dyDescent="0.3">
      <c r="A118" s="20" t="s">
        <v>334</v>
      </c>
      <c r="B118" s="19">
        <v>90601</v>
      </c>
      <c r="C118" s="25">
        <v>1.8674793021334395</v>
      </c>
      <c r="D118" s="34">
        <v>1.1499999999999997</v>
      </c>
      <c r="E118" s="38">
        <v>46120</v>
      </c>
      <c r="F118" s="42">
        <v>46121</v>
      </c>
      <c r="H118" s="29">
        <f>VLOOKUP(B118,ATL!C:K,8,0)</f>
        <v>1.8674793021334395</v>
      </c>
      <c r="I118" s="29">
        <f>VLOOKUP(B118,ATL!C:K,7,0)</f>
        <v>1.1499999999999997</v>
      </c>
      <c r="J118" t="b">
        <f t="shared" si="2"/>
        <v>1</v>
      </c>
      <c r="K118" t="b">
        <f t="shared" si="3"/>
        <v>1</v>
      </c>
    </row>
    <row r="119" spans="1:11" x14ac:dyDescent="0.3">
      <c r="A119" s="20" t="s">
        <v>334</v>
      </c>
      <c r="B119" s="19">
        <v>90603</v>
      </c>
      <c r="C119" s="25">
        <v>5.3262704595050856</v>
      </c>
      <c r="D119" s="34">
        <v>1.2649999999999997</v>
      </c>
      <c r="E119" s="38">
        <v>46120</v>
      </c>
      <c r="F119" s="42">
        <v>46121</v>
      </c>
      <c r="H119" s="29">
        <f>VLOOKUP(B119,ATL!C:K,8,0)</f>
        <v>5.3262704595050856</v>
      </c>
      <c r="I119" s="29">
        <f>VLOOKUP(B119,ATL!C:K,7,0)</f>
        <v>1.2649999999999997</v>
      </c>
      <c r="J119" t="b">
        <f t="shared" si="2"/>
        <v>1</v>
      </c>
      <c r="K119" t="b">
        <f t="shared" si="3"/>
        <v>1</v>
      </c>
    </row>
    <row r="120" spans="1:11" x14ac:dyDescent="0.3">
      <c r="A120" s="20" t="s">
        <v>334</v>
      </c>
      <c r="B120" s="19">
        <v>90604</v>
      </c>
      <c r="C120" s="25">
        <v>3.4715545743513672</v>
      </c>
      <c r="D120" s="34">
        <v>1.2649999999999997</v>
      </c>
      <c r="E120" s="38">
        <v>46120</v>
      </c>
      <c r="F120" s="42">
        <v>46121</v>
      </c>
      <c r="H120" s="29">
        <f>VLOOKUP(B120,ATL!C:K,8,0)</f>
        <v>3.4715545743513672</v>
      </c>
      <c r="I120" s="29">
        <f>VLOOKUP(B120,ATL!C:K,7,0)</f>
        <v>1.2649999999999997</v>
      </c>
      <c r="J120" t="b">
        <f t="shared" si="2"/>
        <v>1</v>
      </c>
      <c r="K120" t="b">
        <f t="shared" si="3"/>
        <v>1</v>
      </c>
    </row>
    <row r="121" spans="1:11" x14ac:dyDescent="0.3">
      <c r="A121" s="20" t="s">
        <v>334</v>
      </c>
      <c r="B121" s="19">
        <v>90609</v>
      </c>
      <c r="C121" s="25">
        <v>2.1371086892266224</v>
      </c>
      <c r="D121" s="34">
        <v>1.38</v>
      </c>
      <c r="E121" s="38">
        <v>46120</v>
      </c>
      <c r="F121" s="42">
        <v>46121</v>
      </c>
      <c r="H121" s="29">
        <f>VLOOKUP(B121,ATL!C:K,8,0)</f>
        <v>2.1371086892266224</v>
      </c>
      <c r="I121" s="29">
        <f>VLOOKUP(B121,ATL!C:K,7,0)</f>
        <v>1.38</v>
      </c>
      <c r="J121" t="b">
        <f t="shared" si="2"/>
        <v>1</v>
      </c>
      <c r="K121" t="b">
        <f t="shared" si="3"/>
        <v>1</v>
      </c>
    </row>
    <row r="122" spans="1:11" x14ac:dyDescent="0.3">
      <c r="A122" s="20" t="s">
        <v>334</v>
      </c>
      <c r="B122" s="19">
        <v>90610</v>
      </c>
      <c r="C122" s="25">
        <v>2.6355261943594002</v>
      </c>
      <c r="D122" s="34">
        <v>1.38</v>
      </c>
      <c r="E122" s="38">
        <v>46120</v>
      </c>
      <c r="F122" s="42">
        <v>46121</v>
      </c>
      <c r="H122" s="29">
        <f>VLOOKUP(B122,ATL!C:K,8,0)</f>
        <v>2.6355261943594002</v>
      </c>
      <c r="I122" s="29">
        <f>VLOOKUP(B122,ATL!C:K,7,0)</f>
        <v>1.38</v>
      </c>
      <c r="J122" t="b">
        <f t="shared" si="2"/>
        <v>1</v>
      </c>
      <c r="K122" t="b">
        <f t="shared" si="3"/>
        <v>1</v>
      </c>
    </row>
    <row r="123" spans="1:11" x14ac:dyDescent="0.3">
      <c r="A123" s="20" t="s">
        <v>334</v>
      </c>
      <c r="B123" s="19">
        <v>90611</v>
      </c>
      <c r="C123" s="25">
        <v>3.1708700323655621</v>
      </c>
      <c r="D123" s="34">
        <v>1.38</v>
      </c>
      <c r="E123" s="38">
        <v>46120</v>
      </c>
      <c r="F123" s="42">
        <v>46121</v>
      </c>
      <c r="H123" s="29">
        <f>VLOOKUP(B123,ATL!C:K,8,0)</f>
        <v>3.1708700323655621</v>
      </c>
      <c r="I123" s="29">
        <f>VLOOKUP(B123,ATL!C:K,7,0)</f>
        <v>1.38</v>
      </c>
      <c r="J123" t="b">
        <f t="shared" si="2"/>
        <v>1</v>
      </c>
      <c r="K123" t="b">
        <f t="shared" si="3"/>
        <v>1</v>
      </c>
    </row>
    <row r="124" spans="1:11" x14ac:dyDescent="0.3">
      <c r="A124" s="20" t="s">
        <v>334</v>
      </c>
      <c r="B124" s="19">
        <v>90612</v>
      </c>
      <c r="C124" s="25">
        <v>1.7167232426270842</v>
      </c>
      <c r="D124" s="34">
        <v>0.91999999999999982</v>
      </c>
      <c r="E124" s="38">
        <v>46120</v>
      </c>
      <c r="F124" s="42">
        <v>46121</v>
      </c>
      <c r="H124" s="29">
        <f>VLOOKUP(B124,ATL!C:K,8,0)</f>
        <v>1.7167232426270842</v>
      </c>
      <c r="I124" s="29">
        <f>VLOOKUP(B124,ATL!C:K,7,0)</f>
        <v>0.91999999999999982</v>
      </c>
      <c r="J124" t="b">
        <f t="shared" si="2"/>
        <v>1</v>
      </c>
      <c r="K124" t="b">
        <f t="shared" si="3"/>
        <v>1</v>
      </c>
    </row>
    <row r="125" spans="1:11" x14ac:dyDescent="0.3">
      <c r="A125" s="20" t="s">
        <v>334</v>
      </c>
      <c r="B125" s="19">
        <v>90613</v>
      </c>
      <c r="C125" s="25">
        <v>2.355008662340536</v>
      </c>
      <c r="D125" s="34">
        <v>1.2649999999999997</v>
      </c>
      <c r="E125" s="38">
        <v>46120</v>
      </c>
      <c r="F125" s="42">
        <v>46121</v>
      </c>
      <c r="H125" s="29">
        <f>VLOOKUP(B125,ATL!C:K,8,0)</f>
        <v>2.355008662340536</v>
      </c>
      <c r="I125" s="29">
        <f>VLOOKUP(B125,ATL!C:K,7,0)</f>
        <v>1.2649999999999997</v>
      </c>
      <c r="J125" t="b">
        <f t="shared" si="2"/>
        <v>1</v>
      </c>
      <c r="K125" t="b">
        <f t="shared" si="3"/>
        <v>1</v>
      </c>
    </row>
    <row r="126" spans="1:11" x14ac:dyDescent="0.3">
      <c r="A126" s="20" t="s">
        <v>334</v>
      </c>
      <c r="B126" s="19">
        <v>90614</v>
      </c>
      <c r="C126" s="25">
        <v>2.9563788887802271</v>
      </c>
      <c r="D126" s="34">
        <v>1.2649999999999997</v>
      </c>
      <c r="E126" s="38">
        <v>46120</v>
      </c>
      <c r="F126" s="42">
        <v>46121</v>
      </c>
      <c r="H126" s="29">
        <f>VLOOKUP(B126,ATL!C:K,8,0)</f>
        <v>2.9563788887802271</v>
      </c>
      <c r="I126" s="29">
        <f>VLOOKUP(B126,ATL!C:K,7,0)</f>
        <v>1.2649999999999997</v>
      </c>
      <c r="J126" t="b">
        <f t="shared" si="2"/>
        <v>1</v>
      </c>
      <c r="K126" t="b">
        <f t="shared" si="3"/>
        <v>1</v>
      </c>
    </row>
    <row r="127" spans="1:11" x14ac:dyDescent="0.3">
      <c r="A127" s="20" t="s">
        <v>334</v>
      </c>
      <c r="B127" s="19">
        <v>90615</v>
      </c>
      <c r="C127" s="25">
        <v>3.9026449660116951</v>
      </c>
      <c r="D127" s="34">
        <v>1.2649999999999997</v>
      </c>
      <c r="E127" s="38">
        <v>46120</v>
      </c>
      <c r="F127" s="42">
        <v>46121</v>
      </c>
      <c r="H127" s="29">
        <f>VLOOKUP(B127,ATL!C:K,8,0)</f>
        <v>3.9026449660116951</v>
      </c>
      <c r="I127" s="29">
        <f>VLOOKUP(B127,ATL!C:K,7,0)</f>
        <v>1.2649999999999997</v>
      </c>
      <c r="J127" t="b">
        <f t="shared" si="2"/>
        <v>1</v>
      </c>
      <c r="K127" t="b">
        <f t="shared" si="3"/>
        <v>1</v>
      </c>
    </row>
    <row r="128" spans="1:11" x14ac:dyDescent="0.3">
      <c r="A128" s="20" t="s">
        <v>334</v>
      </c>
      <c r="B128" s="19">
        <v>90616</v>
      </c>
      <c r="C128" s="25">
        <v>1.6189796652845585</v>
      </c>
      <c r="D128" s="34">
        <v>0.80499999999999994</v>
      </c>
      <c r="E128" s="38">
        <v>46120</v>
      </c>
      <c r="F128" s="42">
        <v>46121</v>
      </c>
      <c r="H128" s="29">
        <f>VLOOKUP(B128,ATL!C:K,8,0)</f>
        <v>1.6189796652845585</v>
      </c>
      <c r="I128" s="29">
        <f>VLOOKUP(B128,ATL!C:K,7,0)</f>
        <v>0.80499999999999994</v>
      </c>
      <c r="J128" t="b">
        <f t="shared" si="2"/>
        <v>1</v>
      </c>
      <c r="K128" t="b">
        <f t="shared" si="3"/>
        <v>1</v>
      </c>
    </row>
    <row r="129" spans="1:11" x14ac:dyDescent="0.3">
      <c r="A129" s="20" t="s">
        <v>334</v>
      </c>
      <c r="B129" s="19">
        <v>90655</v>
      </c>
      <c r="C129" s="25">
        <v>2.6140721009832752</v>
      </c>
      <c r="D129" s="34">
        <v>1.2649999999999997</v>
      </c>
      <c r="E129" s="38">
        <v>46120</v>
      </c>
      <c r="F129" s="42">
        <v>46121</v>
      </c>
      <c r="H129" s="29">
        <f>VLOOKUP(B129,ATL!C:K,8,0)</f>
        <v>2.6140721009832752</v>
      </c>
      <c r="I129" s="29">
        <f>VLOOKUP(B129,ATL!C:K,7,0)</f>
        <v>1.2649999999999997</v>
      </c>
      <c r="J129" t="b">
        <f t="shared" si="2"/>
        <v>1</v>
      </c>
      <c r="K129" t="b">
        <f t="shared" si="3"/>
        <v>1</v>
      </c>
    </row>
    <row r="130" spans="1:11" x14ac:dyDescent="0.3">
      <c r="A130" s="20" t="s">
        <v>334</v>
      </c>
      <c r="B130" s="19">
        <v>90704</v>
      </c>
      <c r="C130" s="25">
        <v>2.6925423390785141</v>
      </c>
      <c r="D130" s="34">
        <v>1.38</v>
      </c>
      <c r="E130" s="38">
        <v>46120</v>
      </c>
      <c r="F130" s="42">
        <v>46121</v>
      </c>
      <c r="H130" s="29">
        <f>VLOOKUP(B130,ATL!C:K,8,0)</f>
        <v>2.6925423390785141</v>
      </c>
      <c r="I130" s="29">
        <f>VLOOKUP(B130,ATL!C:K,7,0)</f>
        <v>1.38</v>
      </c>
      <c r="J130" t="b">
        <f t="shared" si="2"/>
        <v>1</v>
      </c>
      <c r="K130" t="b">
        <f t="shared" si="3"/>
        <v>1</v>
      </c>
    </row>
    <row r="131" spans="1:11" x14ac:dyDescent="0.3">
      <c r="A131" s="20" t="s">
        <v>334</v>
      </c>
      <c r="B131" s="19">
        <v>91571</v>
      </c>
      <c r="C131" s="25">
        <v>1.4821362674031322</v>
      </c>
      <c r="D131" s="34">
        <v>0.80499999999999994</v>
      </c>
      <c r="E131" s="38">
        <v>46120</v>
      </c>
      <c r="F131" s="42">
        <v>46121</v>
      </c>
      <c r="H131" s="29">
        <f>VLOOKUP(B131,ATL!C:K,8,0)</f>
        <v>1.4821362674031322</v>
      </c>
      <c r="I131" s="29">
        <f>VLOOKUP(B131,ATL!C:K,7,0)</f>
        <v>0.80499999999999994</v>
      </c>
      <c r="J131" t="b">
        <f t="shared" ref="J131:J194" si="4">C131=H131</f>
        <v>1</v>
      </c>
      <c r="K131" t="b">
        <f t="shared" ref="K131:K194" si="5">D131=I131</f>
        <v>1</v>
      </c>
    </row>
    <row r="132" spans="1:11" x14ac:dyDescent="0.3">
      <c r="A132" s="20" t="s">
        <v>334</v>
      </c>
      <c r="B132" s="19">
        <v>91572</v>
      </c>
      <c r="C132" s="25">
        <v>1.5648679160545074</v>
      </c>
      <c r="D132" s="34">
        <v>0.91999999999999982</v>
      </c>
      <c r="E132" s="38">
        <v>46120</v>
      </c>
      <c r="F132" s="42">
        <v>46121</v>
      </c>
      <c r="H132" s="29">
        <f>VLOOKUP(B132,ATL!C:K,8,0)</f>
        <v>1.5648679160545074</v>
      </c>
      <c r="I132" s="29">
        <f>VLOOKUP(B132,ATL!C:K,7,0)</f>
        <v>0.91999999999999982</v>
      </c>
      <c r="J132" t="b">
        <f t="shared" si="4"/>
        <v>1</v>
      </c>
      <c r="K132" t="b">
        <f t="shared" si="5"/>
        <v>1</v>
      </c>
    </row>
    <row r="133" spans="1:11" x14ac:dyDescent="0.3">
      <c r="A133" s="20" t="s">
        <v>334</v>
      </c>
      <c r="B133" s="19">
        <v>91797</v>
      </c>
      <c r="C133" s="25">
        <v>2.7433284335393773</v>
      </c>
      <c r="D133" s="34">
        <v>1.38</v>
      </c>
      <c r="E133" s="38">
        <v>46120</v>
      </c>
      <c r="F133" s="42">
        <v>46121</v>
      </c>
      <c r="H133" s="29">
        <f>VLOOKUP(B133,ATL!C:K,8,0)</f>
        <v>2.7433284335393773</v>
      </c>
      <c r="I133" s="29">
        <f>VLOOKUP(B133,ATL!C:K,7,0)</f>
        <v>1.38</v>
      </c>
      <c r="J133" t="b">
        <f t="shared" si="4"/>
        <v>1</v>
      </c>
      <c r="K133" t="b">
        <f t="shared" si="5"/>
        <v>1</v>
      </c>
    </row>
    <row r="134" spans="1:11" x14ac:dyDescent="0.3">
      <c r="A134" s="20" t="s">
        <v>334</v>
      </c>
      <c r="B134" s="19">
        <v>91802</v>
      </c>
      <c r="C134" s="25">
        <v>2.7037768058608056</v>
      </c>
      <c r="D134" s="34">
        <v>1.2649999999999997</v>
      </c>
      <c r="E134" s="38">
        <v>46120</v>
      </c>
      <c r="F134" s="42">
        <v>46121</v>
      </c>
      <c r="H134" s="29">
        <f>VLOOKUP(B134,ATL!C:K,8,0)</f>
        <v>2.7037768058608056</v>
      </c>
      <c r="I134" s="29">
        <f>VLOOKUP(B134,ATL!C:K,7,0)</f>
        <v>1.2649999999999997</v>
      </c>
      <c r="J134" t="b">
        <f t="shared" si="4"/>
        <v>1</v>
      </c>
      <c r="K134" t="b">
        <f t="shared" si="5"/>
        <v>1</v>
      </c>
    </row>
    <row r="135" spans="1:11" x14ac:dyDescent="0.3">
      <c r="A135" s="20" t="s">
        <v>334</v>
      </c>
      <c r="B135" s="19">
        <v>34732</v>
      </c>
      <c r="C135" s="26">
        <v>0</v>
      </c>
      <c r="D135" s="35">
        <v>0</v>
      </c>
      <c r="E135" s="38">
        <v>46120</v>
      </c>
      <c r="F135" s="42">
        <v>46121</v>
      </c>
      <c r="H135" s="29">
        <f>VLOOKUP(B135,ATL!C:K,8,0)</f>
        <v>0</v>
      </c>
      <c r="I135" s="29">
        <f>VLOOKUP(B135,ATL!C:K,7,0)</f>
        <v>0</v>
      </c>
      <c r="J135" t="b">
        <f t="shared" si="4"/>
        <v>1</v>
      </c>
      <c r="K135" t="b">
        <f t="shared" si="5"/>
        <v>1</v>
      </c>
    </row>
    <row r="136" spans="1:11" x14ac:dyDescent="0.3">
      <c r="A136" s="20" t="s">
        <v>334</v>
      </c>
      <c r="B136" s="19">
        <v>60165</v>
      </c>
      <c r="C136" s="26">
        <v>0</v>
      </c>
      <c r="D136" s="35">
        <v>0</v>
      </c>
      <c r="E136" s="38">
        <v>46120</v>
      </c>
      <c r="F136" s="42">
        <v>46121</v>
      </c>
      <c r="H136" s="29">
        <f>VLOOKUP(B136,ATL!C:K,8,0)</f>
        <v>0</v>
      </c>
      <c r="I136" s="29">
        <f>VLOOKUP(B136,ATL!C:K,7,0)</f>
        <v>0</v>
      </c>
      <c r="J136" t="b">
        <f t="shared" si="4"/>
        <v>1</v>
      </c>
      <c r="K136" t="b">
        <f t="shared" si="5"/>
        <v>1</v>
      </c>
    </row>
    <row r="137" spans="1:11" x14ac:dyDescent="0.3">
      <c r="A137" s="20" t="s">
        <v>334</v>
      </c>
      <c r="B137" s="19">
        <v>39725</v>
      </c>
      <c r="C137" s="26">
        <v>0</v>
      </c>
      <c r="D137" s="35">
        <v>0</v>
      </c>
      <c r="E137" s="38">
        <v>46120</v>
      </c>
      <c r="F137" s="42">
        <v>46121</v>
      </c>
      <c r="H137" s="29">
        <f>VLOOKUP(B137,ATL!C:K,8,0)</f>
        <v>0</v>
      </c>
      <c r="I137" s="29">
        <f>VLOOKUP(B137,ATL!C:K,7,0)</f>
        <v>0</v>
      </c>
      <c r="J137" t="b">
        <f t="shared" si="4"/>
        <v>1</v>
      </c>
      <c r="K137" t="b">
        <f t="shared" si="5"/>
        <v>1</v>
      </c>
    </row>
    <row r="138" spans="1:11" x14ac:dyDescent="0.3">
      <c r="A138" s="20" t="s">
        <v>334</v>
      </c>
      <c r="B138" s="19">
        <v>39726</v>
      </c>
      <c r="C138" s="26">
        <v>0</v>
      </c>
      <c r="D138" s="35">
        <v>0</v>
      </c>
      <c r="E138" s="38">
        <v>46120</v>
      </c>
      <c r="F138" s="42">
        <v>46121</v>
      </c>
      <c r="H138" s="29">
        <f>VLOOKUP(B138,ATL!C:K,8,0)</f>
        <v>0</v>
      </c>
      <c r="I138" s="29">
        <f>VLOOKUP(B138,ATL!C:K,7,0)</f>
        <v>0</v>
      </c>
      <c r="J138" t="b">
        <f t="shared" si="4"/>
        <v>1</v>
      </c>
      <c r="K138" t="b">
        <f t="shared" si="5"/>
        <v>1</v>
      </c>
    </row>
    <row r="139" spans="1:11" x14ac:dyDescent="0.3">
      <c r="A139" s="20" t="s">
        <v>334</v>
      </c>
      <c r="B139" s="19">
        <v>41730</v>
      </c>
      <c r="C139" s="26">
        <v>0</v>
      </c>
      <c r="D139" s="35">
        <v>0</v>
      </c>
      <c r="E139" s="38">
        <v>46120</v>
      </c>
      <c r="F139" s="42">
        <v>46121</v>
      </c>
      <c r="H139" s="29">
        <f>VLOOKUP(B139,ATL!C:K,8,0)</f>
        <v>0</v>
      </c>
      <c r="I139" s="29">
        <f>VLOOKUP(B139,ATL!C:K,7,0)</f>
        <v>0</v>
      </c>
      <c r="J139" t="b">
        <f t="shared" si="4"/>
        <v>1</v>
      </c>
      <c r="K139" t="b">
        <f t="shared" si="5"/>
        <v>1</v>
      </c>
    </row>
    <row r="140" spans="1:11" x14ac:dyDescent="0.3">
      <c r="A140" s="20" t="s">
        <v>334</v>
      </c>
      <c r="B140" s="19">
        <v>41731</v>
      </c>
      <c r="C140" s="26">
        <v>0</v>
      </c>
      <c r="D140" s="35">
        <v>0</v>
      </c>
      <c r="E140" s="38">
        <v>46120</v>
      </c>
      <c r="F140" s="42">
        <v>46121</v>
      </c>
      <c r="H140" s="29">
        <f>VLOOKUP(B140,ATL!C:K,8,0)</f>
        <v>0</v>
      </c>
      <c r="I140" s="29">
        <f>VLOOKUP(B140,ATL!C:K,7,0)</f>
        <v>0</v>
      </c>
      <c r="J140" t="b">
        <f t="shared" si="4"/>
        <v>1</v>
      </c>
      <c r="K140" t="b">
        <f t="shared" si="5"/>
        <v>1</v>
      </c>
    </row>
    <row r="141" spans="1:11" x14ac:dyDescent="0.3">
      <c r="A141" s="20" t="s">
        <v>334</v>
      </c>
      <c r="B141" s="19">
        <v>63707</v>
      </c>
      <c r="C141" s="26">
        <v>0</v>
      </c>
      <c r="D141" s="35">
        <v>0</v>
      </c>
      <c r="E141" s="38">
        <v>46120</v>
      </c>
      <c r="F141" s="42">
        <v>46121</v>
      </c>
      <c r="H141" s="29">
        <f>VLOOKUP(B141,ATL!C:K,8,0)</f>
        <v>0</v>
      </c>
      <c r="I141" s="29">
        <f>VLOOKUP(B141,ATL!C:K,7,0)</f>
        <v>0</v>
      </c>
      <c r="J141" t="b">
        <f t="shared" si="4"/>
        <v>1</v>
      </c>
      <c r="K141" t="b">
        <f t="shared" si="5"/>
        <v>1</v>
      </c>
    </row>
    <row r="142" spans="1:11" x14ac:dyDescent="0.3">
      <c r="A142" s="20" t="s">
        <v>334</v>
      </c>
      <c r="B142" s="19">
        <v>75205</v>
      </c>
      <c r="C142" s="26">
        <v>0</v>
      </c>
      <c r="D142" s="35">
        <v>0</v>
      </c>
      <c r="E142" s="38">
        <v>46120</v>
      </c>
      <c r="F142" s="42">
        <v>46121</v>
      </c>
      <c r="H142" s="29">
        <f>VLOOKUP(B142,ATL!C:K,8,0)</f>
        <v>0</v>
      </c>
      <c r="I142" s="29">
        <f>VLOOKUP(B142,ATL!C:K,7,0)</f>
        <v>0</v>
      </c>
      <c r="J142" t="b">
        <f t="shared" si="4"/>
        <v>1</v>
      </c>
      <c r="K142" t="b">
        <f t="shared" si="5"/>
        <v>1</v>
      </c>
    </row>
    <row r="143" spans="1:11" x14ac:dyDescent="0.3">
      <c r="A143" s="20" t="s">
        <v>334</v>
      </c>
      <c r="B143" s="19">
        <v>2334</v>
      </c>
      <c r="C143" s="25">
        <v>1.2323999999999999</v>
      </c>
      <c r="D143" s="34">
        <v>0.13799999999999996</v>
      </c>
      <c r="E143" s="38">
        <v>46120</v>
      </c>
      <c r="F143" s="42">
        <v>46121</v>
      </c>
      <c r="H143" s="29">
        <f>VLOOKUP(B143,ATL!C:K,8,0)</f>
        <v>1.2323999999999999</v>
      </c>
      <c r="I143" s="29">
        <f>VLOOKUP(B143,ATL!C:K,7,0)</f>
        <v>0.13799999999999996</v>
      </c>
      <c r="J143" t="b">
        <f t="shared" si="4"/>
        <v>1</v>
      </c>
      <c r="K143" t="b">
        <f t="shared" si="5"/>
        <v>1</v>
      </c>
    </row>
    <row r="144" spans="1:11" x14ac:dyDescent="0.3">
      <c r="A144" s="20" t="s">
        <v>334</v>
      </c>
      <c r="B144" s="19">
        <v>454</v>
      </c>
      <c r="C144" s="25">
        <v>0.63919999999999999</v>
      </c>
      <c r="D144" s="34">
        <v>9.1999999999999998E-2</v>
      </c>
      <c r="E144" s="38">
        <v>46120</v>
      </c>
      <c r="F144" s="42">
        <v>46121</v>
      </c>
      <c r="H144" s="29">
        <f>VLOOKUP(B144,ATL!C:K,8,0)</f>
        <v>0.63919999999999999</v>
      </c>
      <c r="I144" s="29">
        <f>VLOOKUP(B144,ATL!C:K,7,0)</f>
        <v>9.1999999999999998E-2</v>
      </c>
      <c r="J144" t="b">
        <f t="shared" si="4"/>
        <v>1</v>
      </c>
      <c r="K144" t="b">
        <f t="shared" si="5"/>
        <v>1</v>
      </c>
    </row>
    <row r="145" spans="1:11" x14ac:dyDescent="0.3">
      <c r="A145" s="20" t="s">
        <v>334</v>
      </c>
      <c r="B145" s="32">
        <v>66575</v>
      </c>
      <c r="C145" s="33">
        <v>0.89040000000000008</v>
      </c>
      <c r="D145" s="36">
        <v>0.13799999999999996</v>
      </c>
      <c r="E145" s="38">
        <v>46120</v>
      </c>
      <c r="F145" s="42">
        <v>46121</v>
      </c>
      <c r="H145" s="29">
        <f>VLOOKUP(B145,ATL!C:K,8,0)</f>
        <v>0.89040000000000008</v>
      </c>
      <c r="I145" s="29">
        <f>VLOOKUP(B145,ATL!C:K,7,0)</f>
        <v>0.13799999999999996</v>
      </c>
      <c r="J145" t="b">
        <f t="shared" si="4"/>
        <v>1</v>
      </c>
      <c r="K145" t="b">
        <f t="shared" si="5"/>
        <v>1</v>
      </c>
    </row>
    <row r="146" spans="1:11" x14ac:dyDescent="0.3">
      <c r="A146" s="20" t="s">
        <v>334</v>
      </c>
      <c r="B146" s="19">
        <v>86780</v>
      </c>
      <c r="C146" s="25">
        <v>0.89040000000000008</v>
      </c>
      <c r="D146" s="34">
        <v>0.13799999999999996</v>
      </c>
      <c r="E146" s="38">
        <v>46120</v>
      </c>
      <c r="F146" s="42">
        <v>46121</v>
      </c>
      <c r="H146" s="29">
        <f>VLOOKUP(B146,ATL!C:K,8,0)</f>
        <v>0.89040000000000008</v>
      </c>
      <c r="I146" s="29">
        <f>VLOOKUP(B146,ATL!C:K,7,0)</f>
        <v>0.13799999999999996</v>
      </c>
      <c r="J146" t="b">
        <f t="shared" si="4"/>
        <v>1</v>
      </c>
      <c r="K146" t="b">
        <f t="shared" si="5"/>
        <v>1</v>
      </c>
    </row>
    <row r="147" spans="1:11" x14ac:dyDescent="0.3">
      <c r="A147" s="20" t="s">
        <v>334</v>
      </c>
      <c r="B147" s="19">
        <v>955</v>
      </c>
      <c r="C147" s="25">
        <v>2.4474000000000005</v>
      </c>
      <c r="D147" s="40">
        <v>0.27</v>
      </c>
      <c r="E147" s="38">
        <v>46120</v>
      </c>
      <c r="F147" s="42">
        <v>46121</v>
      </c>
      <c r="H147" s="29">
        <f>VLOOKUP(B147,ATL!C:K,8,0)</f>
        <v>2.4474000000000005</v>
      </c>
      <c r="I147" s="29">
        <f>VLOOKUP(B147,ATL!C:K,7,0)</f>
        <v>0.27</v>
      </c>
      <c r="J147" t="b">
        <f t="shared" si="4"/>
        <v>1</v>
      </c>
      <c r="K147" t="b">
        <f t="shared" si="5"/>
        <v>1</v>
      </c>
    </row>
    <row r="148" spans="1:11" x14ac:dyDescent="0.3">
      <c r="A148" s="20" t="s">
        <v>334</v>
      </c>
      <c r="B148" s="19">
        <v>71842</v>
      </c>
      <c r="C148" s="25">
        <v>13.799999999999997</v>
      </c>
      <c r="D148" s="34">
        <v>13.799999999999997</v>
      </c>
      <c r="E148" s="38">
        <v>46120</v>
      </c>
      <c r="F148" s="42">
        <v>46121</v>
      </c>
      <c r="H148" s="29">
        <f>VLOOKUP(B148,ATL!C:K,8,0)</f>
        <v>13.799999999999997</v>
      </c>
      <c r="I148" s="29">
        <f>VLOOKUP(B148,ATL!C:K,7,0)</f>
        <v>13.799999999999997</v>
      </c>
      <c r="J148" t="b">
        <f t="shared" si="4"/>
        <v>1</v>
      </c>
      <c r="K148" t="b">
        <f t="shared" si="5"/>
        <v>1</v>
      </c>
    </row>
    <row r="149" spans="1:11" x14ac:dyDescent="0.3">
      <c r="A149" s="20" t="s">
        <v>334</v>
      </c>
      <c r="B149" s="19">
        <v>71843</v>
      </c>
      <c r="C149" s="25">
        <v>13.799999999999997</v>
      </c>
      <c r="D149" s="34">
        <v>13.799999999999997</v>
      </c>
      <c r="E149" s="38">
        <v>46120</v>
      </c>
      <c r="F149" s="42">
        <v>46121</v>
      </c>
      <c r="H149" s="29">
        <f>VLOOKUP(B149,ATL!C:K,8,0)</f>
        <v>13.799999999999997</v>
      </c>
      <c r="I149" s="29">
        <f>VLOOKUP(B149,ATL!C:K,7,0)</f>
        <v>13.799999999999997</v>
      </c>
      <c r="J149" t="b">
        <f t="shared" si="4"/>
        <v>1</v>
      </c>
      <c r="K149" t="b">
        <f t="shared" si="5"/>
        <v>1</v>
      </c>
    </row>
    <row r="150" spans="1:11" x14ac:dyDescent="0.3">
      <c r="A150" s="20" t="s">
        <v>334</v>
      </c>
      <c r="B150" s="19">
        <v>71930</v>
      </c>
      <c r="C150" s="25">
        <v>0.91999999999999982</v>
      </c>
      <c r="D150" s="34">
        <v>0.91999999999999982</v>
      </c>
      <c r="E150" s="38">
        <v>46120</v>
      </c>
      <c r="F150" s="42">
        <v>46121</v>
      </c>
      <c r="H150" s="29">
        <f>VLOOKUP(B150,ATL!C:K,8,0)</f>
        <v>0.91999999999999982</v>
      </c>
      <c r="I150" s="29">
        <f>VLOOKUP(B150,ATL!C:K,7,0)</f>
        <v>0.91999999999999982</v>
      </c>
      <c r="J150" t="b">
        <f t="shared" si="4"/>
        <v>1</v>
      </c>
      <c r="K150" t="b">
        <f t="shared" si="5"/>
        <v>1</v>
      </c>
    </row>
    <row r="151" spans="1:11" x14ac:dyDescent="0.3">
      <c r="A151" s="20" t="s">
        <v>334</v>
      </c>
      <c r="B151" s="19">
        <v>71938</v>
      </c>
      <c r="C151" s="25">
        <v>0.91999999999999982</v>
      </c>
      <c r="D151" s="34">
        <v>0.91999999999999982</v>
      </c>
      <c r="E151" s="38">
        <v>46120</v>
      </c>
      <c r="F151" s="42">
        <v>46121</v>
      </c>
      <c r="H151" s="29">
        <f>VLOOKUP(B151,ATL!C:K,8,0)</f>
        <v>0.91999999999999982</v>
      </c>
      <c r="I151" s="29">
        <f>VLOOKUP(B151,ATL!C:K,7,0)</f>
        <v>0.91999999999999982</v>
      </c>
      <c r="J151" t="b">
        <f t="shared" si="4"/>
        <v>1</v>
      </c>
      <c r="K151" t="b">
        <f t="shared" si="5"/>
        <v>1</v>
      </c>
    </row>
    <row r="152" spans="1:11" x14ac:dyDescent="0.3">
      <c r="A152" s="20" t="s">
        <v>334</v>
      </c>
      <c r="B152" s="19">
        <v>71942</v>
      </c>
      <c r="C152" s="25">
        <v>1.1499999999999997</v>
      </c>
      <c r="D152" s="34">
        <v>1.1499999999999997</v>
      </c>
      <c r="E152" s="38">
        <v>46120</v>
      </c>
      <c r="F152" s="42">
        <v>46121</v>
      </c>
      <c r="H152" s="29">
        <f>VLOOKUP(B152,ATL!C:K,8,0)</f>
        <v>1.1499999999999997</v>
      </c>
      <c r="I152" s="29">
        <f>VLOOKUP(B152,ATL!C:K,7,0)</f>
        <v>1.1499999999999997</v>
      </c>
      <c r="J152" t="b">
        <f t="shared" si="4"/>
        <v>1</v>
      </c>
      <c r="K152" t="b">
        <f t="shared" si="5"/>
        <v>1</v>
      </c>
    </row>
    <row r="153" spans="1:11" x14ac:dyDescent="0.3">
      <c r="A153" s="20" t="s">
        <v>334</v>
      </c>
      <c r="B153" s="19">
        <v>71946</v>
      </c>
      <c r="C153" s="25">
        <v>1.1499999999999997</v>
      </c>
      <c r="D153" s="34">
        <v>1.1499999999999997</v>
      </c>
      <c r="E153" s="38">
        <v>46120</v>
      </c>
      <c r="F153" s="42">
        <v>46121</v>
      </c>
      <c r="H153" s="29">
        <f>VLOOKUP(B153,ATL!C:K,8,0)</f>
        <v>1.1499999999999997</v>
      </c>
      <c r="I153" s="29">
        <f>VLOOKUP(B153,ATL!C:K,7,0)</f>
        <v>1.1499999999999997</v>
      </c>
      <c r="J153" t="b">
        <f t="shared" si="4"/>
        <v>1</v>
      </c>
      <c r="K153" t="b">
        <f t="shared" si="5"/>
        <v>1</v>
      </c>
    </row>
    <row r="154" spans="1:11" x14ac:dyDescent="0.3">
      <c r="A154" s="20" t="s">
        <v>334</v>
      </c>
      <c r="B154" s="19">
        <v>71954</v>
      </c>
      <c r="C154" s="25">
        <v>0.69</v>
      </c>
      <c r="D154" s="34">
        <v>0.69</v>
      </c>
      <c r="E154" s="38">
        <v>46120</v>
      </c>
      <c r="F154" s="42">
        <v>46121</v>
      </c>
      <c r="H154" s="29">
        <f>VLOOKUP(B154,ATL!C:K,8,0)</f>
        <v>0.69</v>
      </c>
      <c r="I154" s="29">
        <f>VLOOKUP(B154,ATL!C:K,7,0)</f>
        <v>0.69</v>
      </c>
      <c r="J154" t="b">
        <f t="shared" si="4"/>
        <v>1</v>
      </c>
      <c r="K154" t="b">
        <f t="shared" si="5"/>
        <v>1</v>
      </c>
    </row>
    <row r="155" spans="1:11" x14ac:dyDescent="0.3">
      <c r="A155" s="20" t="s">
        <v>334</v>
      </c>
      <c r="B155" s="19">
        <v>71962</v>
      </c>
      <c r="C155" s="25">
        <v>0.45999999999999991</v>
      </c>
      <c r="D155" s="34">
        <v>0.45999999999999991</v>
      </c>
      <c r="E155" s="38">
        <v>46120</v>
      </c>
      <c r="F155" s="42">
        <v>46121</v>
      </c>
      <c r="H155" s="29">
        <f>VLOOKUP(B155,ATL!C:K,8,0)</f>
        <v>0.45999999999999991</v>
      </c>
      <c r="I155" s="29">
        <f>VLOOKUP(B155,ATL!C:K,7,0)</f>
        <v>0.45999999999999991</v>
      </c>
      <c r="J155" t="b">
        <f t="shared" si="4"/>
        <v>1</v>
      </c>
      <c r="K155" t="b">
        <f t="shared" si="5"/>
        <v>1</v>
      </c>
    </row>
    <row r="156" spans="1:11" x14ac:dyDescent="0.3">
      <c r="A156" s="20" t="s">
        <v>334</v>
      </c>
      <c r="B156" s="19">
        <v>71966</v>
      </c>
      <c r="C156" s="25">
        <v>0.91999999999999982</v>
      </c>
      <c r="D156" s="34">
        <v>0.91999999999999982</v>
      </c>
      <c r="E156" s="38">
        <v>46120</v>
      </c>
      <c r="F156" s="42">
        <v>46121</v>
      </c>
      <c r="H156" s="29">
        <f>VLOOKUP(B156,ATL!C:K,8,0)</f>
        <v>0.91999999999999982</v>
      </c>
      <c r="I156" s="29">
        <f>VLOOKUP(B156,ATL!C:K,7,0)</f>
        <v>0.91999999999999982</v>
      </c>
      <c r="J156" t="b">
        <f t="shared" si="4"/>
        <v>1</v>
      </c>
      <c r="K156" t="b">
        <f t="shared" si="5"/>
        <v>1</v>
      </c>
    </row>
    <row r="157" spans="1:11" x14ac:dyDescent="0.3">
      <c r="A157" s="20" t="s">
        <v>334</v>
      </c>
      <c r="B157" s="19">
        <v>71967</v>
      </c>
      <c r="C157" s="25">
        <v>1.0349999999999999</v>
      </c>
      <c r="D157" s="34">
        <v>1.0349999999999999</v>
      </c>
      <c r="E157" s="38">
        <v>46120</v>
      </c>
      <c r="F157" s="42">
        <v>46121</v>
      </c>
      <c r="H157" s="29">
        <f>VLOOKUP(B157,ATL!C:K,8,0)</f>
        <v>1.0349999999999999</v>
      </c>
      <c r="I157" s="29">
        <f>VLOOKUP(B157,ATL!C:K,7,0)</f>
        <v>1.0349999999999999</v>
      </c>
      <c r="J157" t="b">
        <f t="shared" si="4"/>
        <v>1</v>
      </c>
      <c r="K157" t="b">
        <f t="shared" si="5"/>
        <v>1</v>
      </c>
    </row>
    <row r="158" spans="1:11" x14ac:dyDescent="0.3">
      <c r="A158" s="20" t="s">
        <v>334</v>
      </c>
      <c r="B158" s="19">
        <v>71968</v>
      </c>
      <c r="C158" s="25">
        <v>1.0349999999999999</v>
      </c>
      <c r="D158" s="34">
        <v>1.0349999999999999</v>
      </c>
      <c r="E158" s="38">
        <v>46120</v>
      </c>
      <c r="F158" s="42">
        <v>46121</v>
      </c>
      <c r="H158" s="29">
        <f>VLOOKUP(B158,ATL!C:K,8,0)</f>
        <v>1.0349999999999999</v>
      </c>
      <c r="I158" s="29">
        <f>VLOOKUP(B158,ATL!C:K,7,0)</f>
        <v>1.0349999999999999</v>
      </c>
      <c r="J158" t="b">
        <f t="shared" si="4"/>
        <v>1</v>
      </c>
      <c r="K158" t="b">
        <f t="shared" si="5"/>
        <v>1</v>
      </c>
    </row>
    <row r="159" spans="1:11" x14ac:dyDescent="0.3">
      <c r="A159" s="20" t="s">
        <v>334</v>
      </c>
      <c r="B159" s="19">
        <v>71892</v>
      </c>
      <c r="C159" s="25">
        <v>1.38</v>
      </c>
      <c r="D159" s="34">
        <v>1.38</v>
      </c>
      <c r="E159" s="38">
        <v>46120</v>
      </c>
      <c r="F159" s="42">
        <v>46121</v>
      </c>
      <c r="H159" s="29">
        <f>VLOOKUP(B159,ATL!C:K,8,0)</f>
        <v>1.38</v>
      </c>
      <c r="I159" s="29">
        <f>VLOOKUP(B159,ATL!C:K,7,0)</f>
        <v>1.38</v>
      </c>
      <c r="J159" t="b">
        <f t="shared" si="4"/>
        <v>1</v>
      </c>
      <c r="K159" t="b">
        <f t="shared" si="5"/>
        <v>1</v>
      </c>
    </row>
    <row r="160" spans="1:11" x14ac:dyDescent="0.3">
      <c r="A160" s="20" t="s">
        <v>334</v>
      </c>
      <c r="B160" s="19">
        <v>71893</v>
      </c>
      <c r="C160" s="25">
        <v>1.38</v>
      </c>
      <c r="D160" s="34">
        <v>1.38</v>
      </c>
      <c r="E160" s="38">
        <v>46120</v>
      </c>
      <c r="F160" s="42">
        <v>46121</v>
      </c>
      <c r="H160" s="29">
        <f>VLOOKUP(B160,ATL!C:K,8,0)</f>
        <v>1.38</v>
      </c>
      <c r="I160" s="29">
        <f>VLOOKUP(B160,ATL!C:K,7,0)</f>
        <v>1.38</v>
      </c>
      <c r="J160" t="b">
        <f t="shared" si="4"/>
        <v>1</v>
      </c>
      <c r="K160" t="b">
        <f t="shared" si="5"/>
        <v>1</v>
      </c>
    </row>
    <row r="161" spans="1:11" x14ac:dyDescent="0.3">
      <c r="A161" s="20" t="s">
        <v>334</v>
      </c>
      <c r="B161" s="19">
        <v>71894</v>
      </c>
      <c r="C161" s="25">
        <v>1.38</v>
      </c>
      <c r="D161" s="34">
        <v>1.38</v>
      </c>
      <c r="E161" s="38">
        <v>46120</v>
      </c>
      <c r="F161" s="42">
        <v>46121</v>
      </c>
      <c r="H161" s="29">
        <f>VLOOKUP(B161,ATL!C:K,8,0)</f>
        <v>1.38</v>
      </c>
      <c r="I161" s="29">
        <f>VLOOKUP(B161,ATL!C:K,7,0)</f>
        <v>1.38</v>
      </c>
      <c r="J161" t="b">
        <f t="shared" si="4"/>
        <v>1</v>
      </c>
      <c r="K161" t="b">
        <f t="shared" si="5"/>
        <v>1</v>
      </c>
    </row>
    <row r="162" spans="1:11" x14ac:dyDescent="0.3">
      <c r="A162" s="20" t="s">
        <v>334</v>
      </c>
      <c r="B162" s="19">
        <v>72011</v>
      </c>
      <c r="C162" s="25">
        <v>0.82799999999999974</v>
      </c>
      <c r="D162" s="34">
        <v>0.82799999999999974</v>
      </c>
      <c r="E162" s="38">
        <v>46120</v>
      </c>
      <c r="F162" s="42">
        <v>46121</v>
      </c>
      <c r="H162" s="29">
        <f>VLOOKUP(B162,ATL!C:K,8,0)</f>
        <v>0.82799999999999974</v>
      </c>
      <c r="I162" s="29">
        <f>VLOOKUP(B162,ATL!C:K,7,0)</f>
        <v>0.82799999999999974</v>
      </c>
      <c r="J162" t="b">
        <f t="shared" si="4"/>
        <v>1</v>
      </c>
      <c r="K162" t="b">
        <f t="shared" si="5"/>
        <v>1</v>
      </c>
    </row>
    <row r="163" spans="1:11" x14ac:dyDescent="0.3">
      <c r="A163" s="20" t="s">
        <v>334</v>
      </c>
      <c r="B163" s="19">
        <v>72039</v>
      </c>
      <c r="C163" s="25">
        <v>1.38</v>
      </c>
      <c r="D163" s="34">
        <v>1.38</v>
      </c>
      <c r="E163" s="38">
        <v>46120</v>
      </c>
      <c r="F163" s="42">
        <v>46121</v>
      </c>
      <c r="H163" s="29">
        <f>VLOOKUP(B163,ATL!C:K,8,0)</f>
        <v>1.38</v>
      </c>
      <c r="I163" s="29">
        <f>VLOOKUP(B163,ATL!C:K,7,0)</f>
        <v>1.38</v>
      </c>
      <c r="J163" t="b">
        <f t="shared" si="4"/>
        <v>1</v>
      </c>
      <c r="K163" t="b">
        <f t="shared" si="5"/>
        <v>1</v>
      </c>
    </row>
    <row r="164" spans="1:11" x14ac:dyDescent="0.3">
      <c r="A164" s="20" t="s">
        <v>334</v>
      </c>
      <c r="B164" s="19">
        <v>72042</v>
      </c>
      <c r="C164" s="25">
        <v>1.8399999999999996</v>
      </c>
      <c r="D164" s="34">
        <v>1.8399999999999996</v>
      </c>
      <c r="E164" s="38">
        <v>46120</v>
      </c>
      <c r="F164" s="42">
        <v>46121</v>
      </c>
      <c r="H164" s="29">
        <f>VLOOKUP(B164,ATL!C:K,8,0)</f>
        <v>1.8399999999999996</v>
      </c>
      <c r="I164" s="29">
        <f>VLOOKUP(B164,ATL!C:K,7,0)</f>
        <v>1.8399999999999996</v>
      </c>
      <c r="J164" t="b">
        <f t="shared" si="4"/>
        <v>1</v>
      </c>
      <c r="K164" t="b">
        <f t="shared" si="5"/>
        <v>1</v>
      </c>
    </row>
    <row r="165" spans="1:11" x14ac:dyDescent="0.3">
      <c r="A165" s="20" t="s">
        <v>334</v>
      </c>
      <c r="B165" s="19">
        <v>72045</v>
      </c>
      <c r="C165" s="25">
        <v>1.38</v>
      </c>
      <c r="D165" s="34">
        <v>1.38</v>
      </c>
      <c r="E165" s="38">
        <v>46120</v>
      </c>
      <c r="F165" s="42">
        <v>46121</v>
      </c>
      <c r="H165" s="29">
        <f>VLOOKUP(B165,ATL!C:K,8,0)</f>
        <v>1.38</v>
      </c>
      <c r="I165" s="29">
        <f>VLOOKUP(B165,ATL!C:K,7,0)</f>
        <v>1.38</v>
      </c>
      <c r="J165" t="b">
        <f t="shared" si="4"/>
        <v>1</v>
      </c>
      <c r="K165" t="b">
        <f t="shared" si="5"/>
        <v>1</v>
      </c>
    </row>
    <row r="166" spans="1:11" x14ac:dyDescent="0.3">
      <c r="A166" s="20" t="s">
        <v>334</v>
      </c>
      <c r="B166" s="19">
        <v>83710</v>
      </c>
      <c r="C166" s="25">
        <v>1.0349999999999999</v>
      </c>
      <c r="D166" s="34">
        <v>1.0349999999999999</v>
      </c>
      <c r="E166" s="38">
        <v>46120</v>
      </c>
      <c r="F166" s="42">
        <v>46121</v>
      </c>
      <c r="H166" s="29">
        <f>VLOOKUP(B166,ATL!C:K,8,0)</f>
        <v>1.0349999999999999</v>
      </c>
      <c r="I166" s="29">
        <f>VLOOKUP(B166,ATL!C:K,7,0)</f>
        <v>1.0349999999999999</v>
      </c>
      <c r="J166" t="b">
        <f t="shared" si="4"/>
        <v>1</v>
      </c>
      <c r="K166" t="b">
        <f t="shared" si="5"/>
        <v>1</v>
      </c>
    </row>
    <row r="167" spans="1:11" x14ac:dyDescent="0.3">
      <c r="A167" s="20" t="s">
        <v>334</v>
      </c>
      <c r="B167" s="19">
        <v>72051</v>
      </c>
      <c r="C167" s="25">
        <v>1.38</v>
      </c>
      <c r="D167" s="34">
        <v>1.38</v>
      </c>
      <c r="E167" s="38">
        <v>46120</v>
      </c>
      <c r="F167" s="42">
        <v>46121</v>
      </c>
      <c r="H167" s="29">
        <f>VLOOKUP(B167,ATL!C:K,8,0)</f>
        <v>1.38</v>
      </c>
      <c r="I167" s="29">
        <f>VLOOKUP(B167,ATL!C:K,7,0)</f>
        <v>1.38</v>
      </c>
      <c r="J167" t="b">
        <f t="shared" si="4"/>
        <v>1</v>
      </c>
      <c r="K167" t="b">
        <f t="shared" si="5"/>
        <v>1</v>
      </c>
    </row>
    <row r="168" spans="1:11" x14ac:dyDescent="0.3">
      <c r="A168" s="20" t="s">
        <v>334</v>
      </c>
      <c r="B168" s="19">
        <v>72052</v>
      </c>
      <c r="C168" s="25">
        <v>0.82799999999999974</v>
      </c>
      <c r="D168" s="34">
        <v>0.82799999999999974</v>
      </c>
      <c r="E168" s="38">
        <v>46120</v>
      </c>
      <c r="F168" s="42">
        <v>46121</v>
      </c>
      <c r="H168" s="29">
        <f>VLOOKUP(B168,ATL!C:K,8,0)</f>
        <v>0.82799999999999974</v>
      </c>
      <c r="I168" s="29">
        <f>VLOOKUP(B168,ATL!C:K,7,0)</f>
        <v>0.82799999999999974</v>
      </c>
      <c r="J168" t="b">
        <f t="shared" si="4"/>
        <v>1</v>
      </c>
      <c r="K168" t="b">
        <f t="shared" si="5"/>
        <v>1</v>
      </c>
    </row>
    <row r="169" spans="1:11" x14ac:dyDescent="0.3">
      <c r="A169" s="20" t="s">
        <v>334</v>
      </c>
      <c r="B169" s="19">
        <v>77666</v>
      </c>
      <c r="C169" s="25">
        <v>2.2999999999999994</v>
      </c>
      <c r="D169" s="34">
        <v>2.2999999999999994</v>
      </c>
      <c r="E169" s="38">
        <v>46120</v>
      </c>
      <c r="F169" s="42">
        <v>46121</v>
      </c>
      <c r="H169" s="29">
        <f>VLOOKUP(B169,ATL!C:K,8,0)</f>
        <v>2.2999999999999994</v>
      </c>
      <c r="I169" s="29">
        <f>VLOOKUP(B169,ATL!C:K,7,0)</f>
        <v>2.2999999999999994</v>
      </c>
      <c r="J169" t="b">
        <f t="shared" si="4"/>
        <v>1</v>
      </c>
      <c r="K169" t="b">
        <f t="shared" si="5"/>
        <v>1</v>
      </c>
    </row>
    <row r="170" spans="1:11" x14ac:dyDescent="0.3">
      <c r="A170" s="20" t="s">
        <v>334</v>
      </c>
      <c r="B170" s="19">
        <v>77667</v>
      </c>
      <c r="C170" s="25">
        <v>2.2999999999999994</v>
      </c>
      <c r="D170" s="34">
        <v>2.2999999999999994</v>
      </c>
      <c r="E170" s="38">
        <v>46120</v>
      </c>
      <c r="F170" s="42">
        <v>46121</v>
      </c>
      <c r="H170" s="29">
        <f>VLOOKUP(B170,ATL!C:K,8,0)</f>
        <v>2.2999999999999994</v>
      </c>
      <c r="I170" s="29">
        <f>VLOOKUP(B170,ATL!C:K,7,0)</f>
        <v>2.2999999999999994</v>
      </c>
      <c r="J170" t="b">
        <f t="shared" si="4"/>
        <v>1</v>
      </c>
      <c r="K170" t="b">
        <f t="shared" si="5"/>
        <v>1</v>
      </c>
    </row>
    <row r="171" spans="1:11" x14ac:dyDescent="0.3">
      <c r="A171" s="20" t="s">
        <v>334</v>
      </c>
      <c r="B171" s="19">
        <v>72168</v>
      </c>
      <c r="C171" s="25">
        <v>10.579999999999998</v>
      </c>
      <c r="D171" s="34">
        <v>10.579999999999998</v>
      </c>
      <c r="E171" s="38">
        <v>46120</v>
      </c>
      <c r="F171" s="42">
        <v>46121</v>
      </c>
      <c r="H171" s="29">
        <f>VLOOKUP(B171,ATL!C:K,8,0)</f>
        <v>10.579999999999998</v>
      </c>
      <c r="I171" s="29">
        <f>VLOOKUP(B171,ATL!C:K,7,0)</f>
        <v>10.579999999999998</v>
      </c>
      <c r="J171" t="b">
        <f t="shared" si="4"/>
        <v>1</v>
      </c>
      <c r="K171" t="b">
        <f t="shared" si="5"/>
        <v>1</v>
      </c>
    </row>
    <row r="172" spans="1:11" x14ac:dyDescent="0.3">
      <c r="A172" s="20" t="s">
        <v>334</v>
      </c>
      <c r="B172" s="19">
        <v>72188</v>
      </c>
      <c r="C172" s="25">
        <v>10.579999999999998</v>
      </c>
      <c r="D172" s="34">
        <v>10.579999999999998</v>
      </c>
      <c r="E172" s="38">
        <v>46120</v>
      </c>
      <c r="F172" s="42">
        <v>46121</v>
      </c>
      <c r="H172" s="29">
        <f>VLOOKUP(B172,ATL!C:K,8,0)</f>
        <v>10.579999999999998</v>
      </c>
      <c r="I172" s="29">
        <f>VLOOKUP(B172,ATL!C:K,7,0)</f>
        <v>10.579999999999998</v>
      </c>
      <c r="J172" t="b">
        <f t="shared" si="4"/>
        <v>1</v>
      </c>
      <c r="K172" t="b">
        <f t="shared" si="5"/>
        <v>1</v>
      </c>
    </row>
    <row r="173" spans="1:11" x14ac:dyDescent="0.3">
      <c r="A173" s="20" t="s">
        <v>334</v>
      </c>
      <c r="B173" s="19">
        <v>72197</v>
      </c>
      <c r="C173" s="25">
        <v>10.579999999999998</v>
      </c>
      <c r="D173" s="34">
        <v>10.579999999999998</v>
      </c>
      <c r="E173" s="38">
        <v>46120</v>
      </c>
      <c r="F173" s="42">
        <v>46121</v>
      </c>
      <c r="H173" s="29">
        <f>VLOOKUP(B173,ATL!C:K,8,0)</f>
        <v>10.579999999999998</v>
      </c>
      <c r="I173" s="29">
        <f>VLOOKUP(B173,ATL!C:K,7,0)</f>
        <v>10.579999999999998</v>
      </c>
      <c r="J173" t="b">
        <f t="shared" si="4"/>
        <v>1</v>
      </c>
      <c r="K173" t="b">
        <f t="shared" si="5"/>
        <v>1</v>
      </c>
    </row>
    <row r="174" spans="1:11" x14ac:dyDescent="0.3">
      <c r="A174" s="20" t="s">
        <v>334</v>
      </c>
      <c r="B174" s="19">
        <v>72206</v>
      </c>
      <c r="C174" s="25">
        <v>10.579999999999998</v>
      </c>
      <c r="D174" s="34">
        <v>10.579999999999998</v>
      </c>
      <c r="E174" s="38">
        <v>46120</v>
      </c>
      <c r="F174" s="42">
        <v>46121</v>
      </c>
      <c r="H174" s="29">
        <f>VLOOKUP(B174,ATL!C:K,8,0)</f>
        <v>10.579999999999998</v>
      </c>
      <c r="I174" s="29">
        <f>VLOOKUP(B174,ATL!C:K,7,0)</f>
        <v>10.579999999999998</v>
      </c>
      <c r="J174" t="b">
        <f t="shared" si="4"/>
        <v>1</v>
      </c>
      <c r="K174" t="b">
        <f t="shared" si="5"/>
        <v>1</v>
      </c>
    </row>
    <row r="175" spans="1:11" x14ac:dyDescent="0.3">
      <c r="A175" s="20" t="s">
        <v>334</v>
      </c>
      <c r="B175" s="19">
        <v>72212</v>
      </c>
      <c r="C175" s="25">
        <v>10.579999999999998</v>
      </c>
      <c r="D175" s="34">
        <v>10.579999999999998</v>
      </c>
      <c r="E175" s="38">
        <v>46120</v>
      </c>
      <c r="F175" s="42">
        <v>46121</v>
      </c>
      <c r="H175" s="29">
        <f>VLOOKUP(B175,ATL!C:K,8,0)</f>
        <v>10.579999999999998</v>
      </c>
      <c r="I175" s="29">
        <f>VLOOKUP(B175,ATL!C:K,7,0)</f>
        <v>10.579999999999998</v>
      </c>
      <c r="J175" t="b">
        <f t="shared" si="4"/>
        <v>1</v>
      </c>
      <c r="K175" t="b">
        <f t="shared" si="5"/>
        <v>1</v>
      </c>
    </row>
    <row r="176" spans="1:11" x14ac:dyDescent="0.3">
      <c r="A176" s="20" t="s">
        <v>334</v>
      </c>
      <c r="B176" s="19">
        <v>72214</v>
      </c>
      <c r="C176" s="25">
        <v>10.579999999999998</v>
      </c>
      <c r="D176" s="34">
        <v>10.579999999999998</v>
      </c>
      <c r="E176" s="38">
        <v>46120</v>
      </c>
      <c r="F176" s="42">
        <v>46121</v>
      </c>
      <c r="H176" s="29">
        <f>VLOOKUP(B176,ATL!C:K,8,0)</f>
        <v>10.579999999999998</v>
      </c>
      <c r="I176" s="29">
        <f>VLOOKUP(B176,ATL!C:K,7,0)</f>
        <v>10.579999999999998</v>
      </c>
      <c r="J176" t="b">
        <f t="shared" si="4"/>
        <v>1</v>
      </c>
      <c r="K176" t="b">
        <f t="shared" si="5"/>
        <v>1</v>
      </c>
    </row>
    <row r="177" spans="1:11" x14ac:dyDescent="0.3">
      <c r="A177" s="20" t="s">
        <v>334</v>
      </c>
      <c r="B177" s="19">
        <v>72224</v>
      </c>
      <c r="C177" s="25">
        <v>10.579999999999998</v>
      </c>
      <c r="D177" s="34">
        <v>10.579999999999998</v>
      </c>
      <c r="E177" s="38">
        <v>46120</v>
      </c>
      <c r="F177" s="42">
        <v>46121</v>
      </c>
      <c r="H177" s="29">
        <f>VLOOKUP(B177,ATL!C:K,8,0)</f>
        <v>10.579999999999998</v>
      </c>
      <c r="I177" s="29">
        <f>VLOOKUP(B177,ATL!C:K,7,0)</f>
        <v>10.579999999999998</v>
      </c>
      <c r="J177" t="b">
        <f t="shared" si="4"/>
        <v>1</v>
      </c>
      <c r="K177" t="b">
        <f t="shared" si="5"/>
        <v>1</v>
      </c>
    </row>
    <row r="178" spans="1:11" x14ac:dyDescent="0.3">
      <c r="A178" s="20" t="s">
        <v>334</v>
      </c>
      <c r="B178" s="19">
        <v>72535</v>
      </c>
      <c r="C178" s="25">
        <v>10.579999999999998</v>
      </c>
      <c r="D178" s="34">
        <v>10.579999999999998</v>
      </c>
      <c r="E178" s="38">
        <v>46120</v>
      </c>
      <c r="F178" s="42">
        <v>46121</v>
      </c>
      <c r="H178" s="29">
        <f>VLOOKUP(B178,ATL!C:K,8,0)</f>
        <v>10.579999999999998</v>
      </c>
      <c r="I178" s="29">
        <f>VLOOKUP(B178,ATL!C:K,7,0)</f>
        <v>10.579999999999998</v>
      </c>
      <c r="J178" t="b">
        <f t="shared" si="4"/>
        <v>1</v>
      </c>
      <c r="K178" t="b">
        <f t="shared" si="5"/>
        <v>1</v>
      </c>
    </row>
    <row r="179" spans="1:11" x14ac:dyDescent="0.3">
      <c r="A179" s="20" t="s">
        <v>334</v>
      </c>
      <c r="B179" s="19">
        <v>72544</v>
      </c>
      <c r="C179" s="25">
        <v>10.579999999999998</v>
      </c>
      <c r="D179" s="34">
        <v>10.579999999999998</v>
      </c>
      <c r="E179" s="38">
        <v>46120</v>
      </c>
      <c r="F179" s="42">
        <v>46121</v>
      </c>
      <c r="H179" s="29">
        <f>VLOOKUP(B179,ATL!C:K,8,0)</f>
        <v>10.579999999999998</v>
      </c>
      <c r="I179" s="29">
        <f>VLOOKUP(B179,ATL!C:K,7,0)</f>
        <v>10.579999999999998</v>
      </c>
      <c r="J179" t="b">
        <f t="shared" si="4"/>
        <v>1</v>
      </c>
      <c r="K179" t="b">
        <f t="shared" si="5"/>
        <v>1</v>
      </c>
    </row>
    <row r="180" spans="1:11" x14ac:dyDescent="0.3">
      <c r="A180" s="20" t="s">
        <v>334</v>
      </c>
      <c r="B180" s="19">
        <v>72554</v>
      </c>
      <c r="C180" s="25">
        <v>10.579999999999998</v>
      </c>
      <c r="D180" s="34">
        <v>10.579999999999998</v>
      </c>
      <c r="E180" s="38">
        <v>46120</v>
      </c>
      <c r="F180" s="42">
        <v>46121</v>
      </c>
      <c r="H180" s="29">
        <f>VLOOKUP(B180,ATL!C:K,8,0)</f>
        <v>10.579999999999998</v>
      </c>
      <c r="I180" s="29">
        <f>VLOOKUP(B180,ATL!C:K,7,0)</f>
        <v>10.579999999999998</v>
      </c>
      <c r="J180" t="b">
        <f t="shared" si="4"/>
        <v>1</v>
      </c>
      <c r="K180" t="b">
        <f t="shared" si="5"/>
        <v>1</v>
      </c>
    </row>
    <row r="181" spans="1:11" x14ac:dyDescent="0.3">
      <c r="A181" s="20" t="s">
        <v>334</v>
      </c>
      <c r="B181" s="19">
        <v>77662</v>
      </c>
      <c r="C181" s="25">
        <v>10.579999999999998</v>
      </c>
      <c r="D181" s="34">
        <v>10.579999999999998</v>
      </c>
      <c r="E181" s="38">
        <v>46120</v>
      </c>
      <c r="F181" s="42">
        <v>46121</v>
      </c>
      <c r="H181" s="29">
        <f>VLOOKUP(B181,ATL!C:K,8,0)</f>
        <v>10.579999999999998</v>
      </c>
      <c r="I181" s="29">
        <f>VLOOKUP(B181,ATL!C:K,7,0)</f>
        <v>10.579999999999998</v>
      </c>
      <c r="J181" t="b">
        <f t="shared" si="4"/>
        <v>1</v>
      </c>
      <c r="K181" t="b">
        <f t="shared" si="5"/>
        <v>1</v>
      </c>
    </row>
    <row r="182" spans="1:11" x14ac:dyDescent="0.3">
      <c r="A182" s="20" t="s">
        <v>334</v>
      </c>
      <c r="B182" s="19">
        <v>72186</v>
      </c>
      <c r="C182" s="25">
        <v>10.579999999999998</v>
      </c>
      <c r="D182" s="34">
        <v>10.579999999999998</v>
      </c>
      <c r="E182" s="38">
        <v>46120</v>
      </c>
      <c r="F182" s="42">
        <v>46121</v>
      </c>
      <c r="H182" s="29">
        <f>VLOOKUP(B182,ATL!C:K,8,0)</f>
        <v>10.579999999999998</v>
      </c>
      <c r="I182" s="29">
        <f>VLOOKUP(B182,ATL!C:K,7,0)</f>
        <v>10.579999999999998</v>
      </c>
      <c r="J182" t="b">
        <f t="shared" si="4"/>
        <v>1</v>
      </c>
      <c r="K182" t="b">
        <f t="shared" si="5"/>
        <v>1</v>
      </c>
    </row>
    <row r="183" spans="1:11" x14ac:dyDescent="0.3">
      <c r="A183" s="20" t="s">
        <v>334</v>
      </c>
      <c r="B183" s="19">
        <v>72218</v>
      </c>
      <c r="C183" s="25">
        <v>10.579999999999998</v>
      </c>
      <c r="D183" s="34">
        <v>10.579999999999998</v>
      </c>
      <c r="E183" s="38">
        <v>46120</v>
      </c>
      <c r="F183" s="42">
        <v>46121</v>
      </c>
      <c r="H183" s="29">
        <f>VLOOKUP(B183,ATL!C:K,8,0)</f>
        <v>10.579999999999998</v>
      </c>
      <c r="I183" s="29">
        <f>VLOOKUP(B183,ATL!C:K,7,0)</f>
        <v>10.579999999999998</v>
      </c>
      <c r="J183" t="b">
        <f t="shared" si="4"/>
        <v>1</v>
      </c>
      <c r="K183" t="b">
        <f t="shared" si="5"/>
        <v>1</v>
      </c>
    </row>
    <row r="184" spans="1:11" x14ac:dyDescent="0.3">
      <c r="A184" s="20" t="s">
        <v>334</v>
      </c>
      <c r="B184" s="19">
        <v>72219</v>
      </c>
      <c r="C184" s="25">
        <v>10.579999999999998</v>
      </c>
      <c r="D184" s="34">
        <v>10.579999999999998</v>
      </c>
      <c r="E184" s="38">
        <v>46120</v>
      </c>
      <c r="F184" s="42">
        <v>46121</v>
      </c>
      <c r="H184" s="29">
        <f>VLOOKUP(B184,ATL!C:K,8,0)</f>
        <v>10.579999999999998</v>
      </c>
      <c r="I184" s="29">
        <f>VLOOKUP(B184,ATL!C:K,7,0)</f>
        <v>10.579999999999998</v>
      </c>
      <c r="J184" t="b">
        <f t="shared" si="4"/>
        <v>1</v>
      </c>
      <c r="K184" t="b">
        <f t="shared" si="5"/>
        <v>1</v>
      </c>
    </row>
    <row r="185" spans="1:11" x14ac:dyDescent="0.3">
      <c r="A185" s="20" t="s">
        <v>334</v>
      </c>
      <c r="B185" s="19">
        <v>72253</v>
      </c>
      <c r="C185" s="25">
        <v>10.579999999999998</v>
      </c>
      <c r="D185" s="34">
        <v>10.579999999999998</v>
      </c>
      <c r="E185" s="38">
        <v>46120</v>
      </c>
      <c r="F185" s="42">
        <v>46121</v>
      </c>
      <c r="H185" s="29">
        <f>VLOOKUP(B185,ATL!C:K,8,0)</f>
        <v>10.579999999999998</v>
      </c>
      <c r="I185" s="29">
        <f>VLOOKUP(B185,ATL!C:K,7,0)</f>
        <v>10.579999999999998</v>
      </c>
      <c r="J185" t="b">
        <f t="shared" si="4"/>
        <v>1</v>
      </c>
      <c r="K185" t="b">
        <f t="shared" si="5"/>
        <v>1</v>
      </c>
    </row>
    <row r="186" spans="1:11" x14ac:dyDescent="0.3">
      <c r="A186" s="20" t="s">
        <v>334</v>
      </c>
      <c r="B186" s="19">
        <v>72254</v>
      </c>
      <c r="C186" s="25">
        <v>10.579999999999998</v>
      </c>
      <c r="D186" s="34">
        <v>10.579999999999998</v>
      </c>
      <c r="E186" s="38">
        <v>46120</v>
      </c>
      <c r="F186" s="42">
        <v>46121</v>
      </c>
      <c r="H186" s="29">
        <f>VLOOKUP(B186,ATL!C:K,8,0)</f>
        <v>10.579999999999998</v>
      </c>
      <c r="I186" s="29">
        <f>VLOOKUP(B186,ATL!C:K,7,0)</f>
        <v>10.579999999999998</v>
      </c>
      <c r="J186" t="b">
        <f t="shared" si="4"/>
        <v>1</v>
      </c>
      <c r="K186" t="b">
        <f t="shared" si="5"/>
        <v>1</v>
      </c>
    </row>
    <row r="187" spans="1:11" x14ac:dyDescent="0.3">
      <c r="A187" s="20" t="s">
        <v>334</v>
      </c>
      <c r="B187" s="19">
        <v>72257</v>
      </c>
      <c r="C187" s="25">
        <v>6.8999999999999986</v>
      </c>
      <c r="D187" s="34">
        <v>6.8999999999999986</v>
      </c>
      <c r="E187" s="38">
        <v>46120</v>
      </c>
      <c r="F187" s="42">
        <v>46121</v>
      </c>
      <c r="H187" s="29">
        <f>VLOOKUP(B187,ATL!C:K,8,0)</f>
        <v>6.8999999999999986</v>
      </c>
      <c r="I187" s="29">
        <f>VLOOKUP(B187,ATL!C:K,7,0)</f>
        <v>6.8999999999999986</v>
      </c>
      <c r="J187" t="b">
        <f t="shared" si="4"/>
        <v>1</v>
      </c>
      <c r="K187" t="b">
        <f t="shared" si="5"/>
        <v>1</v>
      </c>
    </row>
    <row r="188" spans="1:11" x14ac:dyDescent="0.3">
      <c r="A188" s="20" t="s">
        <v>334</v>
      </c>
      <c r="B188" s="19">
        <v>72269</v>
      </c>
      <c r="C188" s="25">
        <v>10.579999999999998</v>
      </c>
      <c r="D188" s="34">
        <v>10.579999999999998</v>
      </c>
      <c r="E188" s="38">
        <v>46120</v>
      </c>
      <c r="F188" s="42">
        <v>46121</v>
      </c>
      <c r="H188" s="29">
        <f>VLOOKUP(B188,ATL!C:K,8,0)</f>
        <v>10.579999999999998</v>
      </c>
      <c r="I188" s="29">
        <f>VLOOKUP(B188,ATL!C:K,7,0)</f>
        <v>10.579999999999998</v>
      </c>
      <c r="J188" t="b">
        <f t="shared" si="4"/>
        <v>1</v>
      </c>
      <c r="K188" t="b">
        <f t="shared" si="5"/>
        <v>1</v>
      </c>
    </row>
    <row r="189" spans="1:11" x14ac:dyDescent="0.3">
      <c r="A189" s="20" t="s">
        <v>334</v>
      </c>
      <c r="B189" s="19">
        <v>72318</v>
      </c>
      <c r="C189" s="25">
        <v>10.579999999999998</v>
      </c>
      <c r="D189" s="34">
        <v>10.579999999999998</v>
      </c>
      <c r="E189" s="38">
        <v>46120</v>
      </c>
      <c r="F189" s="42">
        <v>46121</v>
      </c>
      <c r="H189" s="29">
        <f>VLOOKUP(B189,ATL!C:K,8,0)</f>
        <v>10.579999999999998</v>
      </c>
      <c r="I189" s="29">
        <f>VLOOKUP(B189,ATL!C:K,7,0)</f>
        <v>10.579999999999998</v>
      </c>
      <c r="J189" t="b">
        <f t="shared" si="4"/>
        <v>1</v>
      </c>
      <c r="K189" t="b">
        <f t="shared" si="5"/>
        <v>1</v>
      </c>
    </row>
    <row r="190" spans="1:11" x14ac:dyDescent="0.3">
      <c r="A190" s="20" t="s">
        <v>334</v>
      </c>
      <c r="B190" s="19">
        <v>72321</v>
      </c>
      <c r="C190" s="25">
        <v>6.8999999999999986</v>
      </c>
      <c r="D190" s="34">
        <v>6.8999999999999986</v>
      </c>
      <c r="E190" s="38">
        <v>46120</v>
      </c>
      <c r="F190" s="42">
        <v>46121</v>
      </c>
      <c r="H190" s="29">
        <f>VLOOKUP(B190,ATL!C:K,8,0)</f>
        <v>6.8999999999999986</v>
      </c>
      <c r="I190" s="29">
        <f>VLOOKUP(B190,ATL!C:K,7,0)</f>
        <v>6.8999999999999986</v>
      </c>
      <c r="J190" t="b">
        <f t="shared" si="4"/>
        <v>1</v>
      </c>
      <c r="K190" t="b">
        <f t="shared" si="5"/>
        <v>1</v>
      </c>
    </row>
    <row r="191" spans="1:11" x14ac:dyDescent="0.3">
      <c r="A191" s="20" t="s">
        <v>334</v>
      </c>
      <c r="B191" s="19">
        <v>72333</v>
      </c>
      <c r="C191" s="25">
        <v>10.579999999999998</v>
      </c>
      <c r="D191" s="34">
        <v>10.579999999999998</v>
      </c>
      <c r="E191" s="38">
        <v>46120</v>
      </c>
      <c r="F191" s="42">
        <v>46121</v>
      </c>
      <c r="H191" s="29">
        <f>VLOOKUP(B191,ATL!C:K,8,0)</f>
        <v>10.579999999999998</v>
      </c>
      <c r="I191" s="29">
        <f>VLOOKUP(B191,ATL!C:K,7,0)</f>
        <v>10.579999999999998</v>
      </c>
      <c r="J191" t="b">
        <f t="shared" si="4"/>
        <v>1</v>
      </c>
      <c r="K191" t="b">
        <f t="shared" si="5"/>
        <v>1</v>
      </c>
    </row>
    <row r="192" spans="1:11" x14ac:dyDescent="0.3">
      <c r="A192" s="20" t="s">
        <v>334</v>
      </c>
      <c r="B192" s="19">
        <v>72514</v>
      </c>
      <c r="C192" s="25">
        <v>14.618799999999998</v>
      </c>
      <c r="D192" s="34">
        <v>14.618799999999998</v>
      </c>
      <c r="E192" s="38">
        <v>46120</v>
      </c>
      <c r="F192" s="42">
        <v>46121</v>
      </c>
      <c r="H192" s="29">
        <f>VLOOKUP(B192,ATL!C:K,8,0)</f>
        <v>14.618799999999998</v>
      </c>
      <c r="I192" s="29">
        <f>VLOOKUP(B192,ATL!C:K,7,0)</f>
        <v>14.618799999999998</v>
      </c>
      <c r="J192" t="b">
        <f t="shared" si="4"/>
        <v>1</v>
      </c>
      <c r="K192" t="b">
        <f t="shared" si="5"/>
        <v>1</v>
      </c>
    </row>
    <row r="193" spans="1:11" x14ac:dyDescent="0.3">
      <c r="A193" s="20" t="s">
        <v>334</v>
      </c>
      <c r="B193" s="19">
        <v>72519</v>
      </c>
      <c r="C193" s="25">
        <v>14.618799999999998</v>
      </c>
      <c r="D193" s="34">
        <v>14.618799999999998</v>
      </c>
      <c r="E193" s="38">
        <v>46120</v>
      </c>
      <c r="F193" s="42">
        <v>46121</v>
      </c>
      <c r="H193" s="29">
        <f>VLOOKUP(B193,ATL!C:K,8,0)</f>
        <v>14.618799999999998</v>
      </c>
      <c r="I193" s="29">
        <f>VLOOKUP(B193,ATL!C:K,7,0)</f>
        <v>14.618799999999998</v>
      </c>
      <c r="J193" t="b">
        <f t="shared" si="4"/>
        <v>1</v>
      </c>
      <c r="K193" t="b">
        <f t="shared" si="5"/>
        <v>1</v>
      </c>
    </row>
    <row r="194" spans="1:11" x14ac:dyDescent="0.3">
      <c r="A194" s="20" t="s">
        <v>334</v>
      </c>
      <c r="B194" s="19">
        <v>72521</v>
      </c>
      <c r="C194" s="25">
        <v>14.618799999999998</v>
      </c>
      <c r="D194" s="34">
        <v>14.618799999999998</v>
      </c>
      <c r="E194" s="38">
        <v>46120</v>
      </c>
      <c r="F194" s="42">
        <v>46121</v>
      </c>
      <c r="H194" s="29">
        <f>VLOOKUP(B194,ATL!C:K,8,0)</f>
        <v>14.618799999999998</v>
      </c>
      <c r="I194" s="29">
        <f>VLOOKUP(B194,ATL!C:K,7,0)</f>
        <v>14.618799999999998</v>
      </c>
      <c r="J194" t="b">
        <f t="shared" si="4"/>
        <v>1</v>
      </c>
      <c r="K194" t="b">
        <f t="shared" si="5"/>
        <v>1</v>
      </c>
    </row>
    <row r="195" spans="1:11" x14ac:dyDescent="0.3">
      <c r="A195" s="20" t="s">
        <v>334</v>
      </c>
      <c r="B195" s="19">
        <v>72527</v>
      </c>
      <c r="C195" s="25">
        <v>14.618799999999998</v>
      </c>
      <c r="D195" s="34">
        <v>14.618799999999998</v>
      </c>
      <c r="E195" s="38">
        <v>46120</v>
      </c>
      <c r="F195" s="42">
        <v>46121</v>
      </c>
      <c r="H195" s="29">
        <f>VLOOKUP(B195,ATL!C:K,8,0)</f>
        <v>14.618799999999998</v>
      </c>
      <c r="I195" s="29">
        <f>VLOOKUP(B195,ATL!C:K,7,0)</f>
        <v>14.618799999999998</v>
      </c>
      <c r="J195" t="b">
        <f t="shared" ref="J195:J258" si="6">C195=H195</f>
        <v>1</v>
      </c>
      <c r="K195" t="b">
        <f t="shared" ref="K195:K258" si="7">D195=I195</f>
        <v>1</v>
      </c>
    </row>
    <row r="196" spans="1:11" x14ac:dyDescent="0.3">
      <c r="A196" s="20" t="s">
        <v>334</v>
      </c>
      <c r="B196" s="19">
        <v>72529</v>
      </c>
      <c r="C196" s="25">
        <v>14.618799999999998</v>
      </c>
      <c r="D196" s="34">
        <v>14.618799999999998</v>
      </c>
      <c r="E196" s="38">
        <v>46120</v>
      </c>
      <c r="F196" s="42">
        <v>46121</v>
      </c>
      <c r="H196" s="29">
        <f>VLOOKUP(B196,ATL!C:K,8,0)</f>
        <v>14.618799999999998</v>
      </c>
      <c r="I196" s="29">
        <f>VLOOKUP(B196,ATL!C:K,7,0)</f>
        <v>14.618799999999998</v>
      </c>
      <c r="J196" t="b">
        <f t="shared" si="6"/>
        <v>1</v>
      </c>
      <c r="K196" t="b">
        <f t="shared" si="7"/>
        <v>1</v>
      </c>
    </row>
    <row r="197" spans="1:11" x14ac:dyDescent="0.3">
      <c r="A197" s="20" t="s">
        <v>334</v>
      </c>
      <c r="B197" s="19">
        <v>72533</v>
      </c>
      <c r="C197" s="25">
        <v>14.618799999999998</v>
      </c>
      <c r="D197" s="34">
        <v>14.618799999999998</v>
      </c>
      <c r="E197" s="38">
        <v>46120</v>
      </c>
      <c r="F197" s="42">
        <v>46121</v>
      </c>
      <c r="H197" s="29">
        <f>VLOOKUP(B197,ATL!C:K,8,0)</f>
        <v>14.618799999999998</v>
      </c>
      <c r="I197" s="29">
        <f>VLOOKUP(B197,ATL!C:K,7,0)</f>
        <v>14.618799999999998</v>
      </c>
      <c r="J197" t="b">
        <f t="shared" si="6"/>
        <v>1</v>
      </c>
      <c r="K197" t="b">
        <f t="shared" si="7"/>
        <v>1</v>
      </c>
    </row>
    <row r="198" spans="1:11" x14ac:dyDescent="0.3">
      <c r="A198" s="20" t="s">
        <v>334</v>
      </c>
      <c r="B198" s="19">
        <v>72563</v>
      </c>
      <c r="C198" s="25">
        <v>14.618799999999998</v>
      </c>
      <c r="D198" s="34">
        <v>14.618799999999998</v>
      </c>
      <c r="E198" s="38">
        <v>46120</v>
      </c>
      <c r="F198" s="42">
        <v>46121</v>
      </c>
      <c r="H198" s="29">
        <f>VLOOKUP(B198,ATL!C:K,8,0)</f>
        <v>14.618799999999998</v>
      </c>
      <c r="I198" s="29">
        <f>VLOOKUP(B198,ATL!C:K,7,0)</f>
        <v>14.618799999999998</v>
      </c>
      <c r="J198" t="b">
        <f t="shared" si="6"/>
        <v>1</v>
      </c>
      <c r="K198" t="b">
        <f t="shared" si="7"/>
        <v>1</v>
      </c>
    </row>
    <row r="199" spans="1:11" x14ac:dyDescent="0.3">
      <c r="A199" s="20" t="s">
        <v>334</v>
      </c>
      <c r="B199" s="19">
        <v>72567</v>
      </c>
      <c r="C199" s="25">
        <v>14.618799999999998</v>
      </c>
      <c r="D199" s="34">
        <v>14.618799999999998</v>
      </c>
      <c r="E199" s="38">
        <v>46120</v>
      </c>
      <c r="F199" s="42">
        <v>46121</v>
      </c>
      <c r="H199" s="29">
        <f>VLOOKUP(B199,ATL!C:K,8,0)</f>
        <v>14.618799999999998</v>
      </c>
      <c r="I199" s="29">
        <f>VLOOKUP(B199,ATL!C:K,7,0)</f>
        <v>14.618799999999998</v>
      </c>
      <c r="J199" t="b">
        <f t="shared" si="6"/>
        <v>1</v>
      </c>
      <c r="K199" t="b">
        <f t="shared" si="7"/>
        <v>1</v>
      </c>
    </row>
    <row r="200" spans="1:11" x14ac:dyDescent="0.3">
      <c r="A200" s="20" t="s">
        <v>334</v>
      </c>
      <c r="B200" s="19">
        <v>72016</v>
      </c>
      <c r="C200" s="25">
        <v>2.2999999999999994</v>
      </c>
      <c r="D200" s="34">
        <v>2.2999999999999994</v>
      </c>
      <c r="E200" s="38">
        <v>46120</v>
      </c>
      <c r="F200" s="42">
        <v>46121</v>
      </c>
      <c r="H200" s="29">
        <f>VLOOKUP(B200,ATL!C:K,8,0)</f>
        <v>2.2999999999999994</v>
      </c>
      <c r="I200" s="29">
        <f>VLOOKUP(B200,ATL!C:K,7,0)</f>
        <v>2.2999999999999994</v>
      </c>
      <c r="J200" t="b">
        <f t="shared" si="6"/>
        <v>1</v>
      </c>
      <c r="K200" t="b">
        <f t="shared" si="7"/>
        <v>1</v>
      </c>
    </row>
    <row r="201" spans="1:11" x14ac:dyDescent="0.3">
      <c r="A201" s="20" t="s">
        <v>334</v>
      </c>
      <c r="B201" s="19">
        <v>72028</v>
      </c>
      <c r="C201" s="25">
        <v>0.253</v>
      </c>
      <c r="D201" s="34">
        <v>0.253</v>
      </c>
      <c r="E201" s="38">
        <v>46120</v>
      </c>
      <c r="F201" s="42">
        <v>46121</v>
      </c>
      <c r="H201" s="29">
        <f>VLOOKUP(B201,ATL!C:K,8,0)</f>
        <v>0.253</v>
      </c>
      <c r="I201" s="29">
        <f>VLOOKUP(B201,ATL!C:K,7,0)</f>
        <v>0.253</v>
      </c>
      <c r="J201" t="b">
        <f t="shared" si="6"/>
        <v>1</v>
      </c>
      <c r="K201" t="b">
        <f t="shared" si="7"/>
        <v>1</v>
      </c>
    </row>
    <row r="202" spans="1:11" x14ac:dyDescent="0.3">
      <c r="A202" s="20" t="s">
        <v>334</v>
      </c>
      <c r="B202" s="19">
        <v>72033</v>
      </c>
      <c r="C202" s="25">
        <v>0.253</v>
      </c>
      <c r="D202" s="34">
        <v>0.253</v>
      </c>
      <c r="E202" s="38">
        <v>46120</v>
      </c>
      <c r="F202" s="42">
        <v>46121</v>
      </c>
      <c r="H202" s="29">
        <f>VLOOKUP(B202,ATL!C:K,8,0)</f>
        <v>0.253</v>
      </c>
      <c r="I202" s="29">
        <f>VLOOKUP(B202,ATL!C:K,7,0)</f>
        <v>0.253</v>
      </c>
      <c r="J202" t="b">
        <f t="shared" si="6"/>
        <v>1</v>
      </c>
      <c r="K202" t="b">
        <f t="shared" si="7"/>
        <v>1</v>
      </c>
    </row>
    <row r="203" spans="1:11" x14ac:dyDescent="0.3">
      <c r="A203" s="20" t="s">
        <v>334</v>
      </c>
      <c r="B203" s="19">
        <v>72747</v>
      </c>
      <c r="C203" s="25">
        <v>6.8999999999999986</v>
      </c>
      <c r="D203" s="34">
        <v>6.8999999999999986</v>
      </c>
      <c r="E203" s="38">
        <v>46120</v>
      </c>
      <c r="F203" s="42">
        <v>46121</v>
      </c>
      <c r="H203" s="29">
        <f>VLOOKUP(B203,ATL!C:K,8,0)</f>
        <v>6.8999999999999986</v>
      </c>
      <c r="I203" s="29">
        <f>VLOOKUP(B203,ATL!C:K,7,0)</f>
        <v>6.8999999999999986</v>
      </c>
      <c r="J203" t="b">
        <f t="shared" si="6"/>
        <v>1</v>
      </c>
      <c r="K203" t="b">
        <f t="shared" si="7"/>
        <v>1</v>
      </c>
    </row>
    <row r="204" spans="1:11" x14ac:dyDescent="0.3">
      <c r="A204" s="20" t="s">
        <v>334</v>
      </c>
      <c r="B204" s="19">
        <v>72748</v>
      </c>
      <c r="C204" s="25">
        <v>6.8999999999999986</v>
      </c>
      <c r="D204" s="34">
        <v>6.8999999999999986</v>
      </c>
      <c r="E204" s="38">
        <v>46120</v>
      </c>
      <c r="F204" s="42">
        <v>46121</v>
      </c>
      <c r="H204" s="29">
        <f>VLOOKUP(B204,ATL!C:K,8,0)</f>
        <v>6.8999999999999986</v>
      </c>
      <c r="I204" s="29">
        <f>VLOOKUP(B204,ATL!C:K,7,0)</f>
        <v>6.8999999999999986</v>
      </c>
      <c r="J204" t="b">
        <f t="shared" si="6"/>
        <v>1</v>
      </c>
      <c r="K204" t="b">
        <f t="shared" si="7"/>
        <v>1</v>
      </c>
    </row>
    <row r="205" spans="1:11" x14ac:dyDescent="0.3">
      <c r="A205" s="20" t="s">
        <v>334</v>
      </c>
      <c r="B205" s="19">
        <v>72755</v>
      </c>
      <c r="C205" s="25">
        <v>6.8999999999999986</v>
      </c>
      <c r="D205" s="34">
        <v>6.8999999999999986</v>
      </c>
      <c r="E205" s="38">
        <v>46120</v>
      </c>
      <c r="F205" s="42">
        <v>46121</v>
      </c>
      <c r="H205" s="29">
        <f>VLOOKUP(B205,ATL!C:K,8,0)</f>
        <v>6.8999999999999986</v>
      </c>
      <c r="I205" s="29">
        <f>VLOOKUP(B205,ATL!C:K,7,0)</f>
        <v>6.8999999999999986</v>
      </c>
      <c r="J205" t="b">
        <f t="shared" si="6"/>
        <v>1</v>
      </c>
      <c r="K205" t="b">
        <f t="shared" si="7"/>
        <v>1</v>
      </c>
    </row>
    <row r="206" spans="1:11" x14ac:dyDescent="0.3">
      <c r="A206" s="20" t="s">
        <v>334</v>
      </c>
      <c r="B206" s="19">
        <v>72764</v>
      </c>
      <c r="C206" s="25">
        <v>6.8999999999999986</v>
      </c>
      <c r="D206" s="34">
        <v>6.8999999999999986</v>
      </c>
      <c r="E206" s="38">
        <v>46120</v>
      </c>
      <c r="F206" s="42">
        <v>46121</v>
      </c>
      <c r="H206" s="29">
        <f>VLOOKUP(B206,ATL!C:K,8,0)</f>
        <v>6.8999999999999986</v>
      </c>
      <c r="I206" s="29">
        <f>VLOOKUP(B206,ATL!C:K,7,0)</f>
        <v>6.8999999999999986</v>
      </c>
      <c r="J206" t="b">
        <f t="shared" si="6"/>
        <v>1</v>
      </c>
      <c r="K206" t="b">
        <f t="shared" si="7"/>
        <v>1</v>
      </c>
    </row>
    <row r="207" spans="1:11" x14ac:dyDescent="0.3">
      <c r="A207" s="20" t="s">
        <v>334</v>
      </c>
      <c r="B207" s="19">
        <v>72771</v>
      </c>
      <c r="C207" s="25">
        <v>6.8999999999999986</v>
      </c>
      <c r="D207" s="34">
        <v>6.8999999999999986</v>
      </c>
      <c r="E207" s="38">
        <v>46120</v>
      </c>
      <c r="F207" s="42">
        <v>46121</v>
      </c>
      <c r="H207" s="29">
        <f>VLOOKUP(B207,ATL!C:K,8,0)</f>
        <v>6.8999999999999986</v>
      </c>
      <c r="I207" s="29">
        <f>VLOOKUP(B207,ATL!C:K,7,0)</f>
        <v>6.8999999999999986</v>
      </c>
      <c r="J207" t="b">
        <f t="shared" si="6"/>
        <v>1</v>
      </c>
      <c r="K207" t="b">
        <f t="shared" si="7"/>
        <v>1</v>
      </c>
    </row>
    <row r="208" spans="1:11" x14ac:dyDescent="0.3">
      <c r="A208" s="20" t="s">
        <v>334</v>
      </c>
      <c r="B208" s="19">
        <v>72773</v>
      </c>
      <c r="C208" s="25">
        <v>6.8999999999999986</v>
      </c>
      <c r="D208" s="34">
        <v>6.8999999999999986</v>
      </c>
      <c r="E208" s="38">
        <v>46120</v>
      </c>
      <c r="F208" s="42">
        <v>46121</v>
      </c>
      <c r="H208" s="29">
        <f>VLOOKUP(B208,ATL!C:K,8,0)</f>
        <v>6.8999999999999986</v>
      </c>
      <c r="I208" s="29">
        <f>VLOOKUP(B208,ATL!C:K,7,0)</f>
        <v>6.8999999999999986</v>
      </c>
      <c r="J208" t="b">
        <f t="shared" si="6"/>
        <v>1</v>
      </c>
      <c r="K208" t="b">
        <f t="shared" si="7"/>
        <v>1</v>
      </c>
    </row>
    <row r="209" spans="1:11" x14ac:dyDescent="0.3">
      <c r="A209" s="20" t="s">
        <v>334</v>
      </c>
      <c r="B209" s="19">
        <v>72849</v>
      </c>
      <c r="C209" s="25">
        <v>6.8999999999999986</v>
      </c>
      <c r="D209" s="34">
        <v>6.8999999999999986</v>
      </c>
      <c r="E209" s="38">
        <v>46120</v>
      </c>
      <c r="F209" s="42">
        <v>46121</v>
      </c>
      <c r="H209" s="29">
        <f>VLOOKUP(B209,ATL!C:K,8,0)</f>
        <v>6.8999999999999986</v>
      </c>
      <c r="I209" s="29">
        <f>VLOOKUP(B209,ATL!C:K,7,0)</f>
        <v>6.8999999999999986</v>
      </c>
      <c r="J209" t="b">
        <f t="shared" si="6"/>
        <v>1</v>
      </c>
      <c r="K209" t="b">
        <f t="shared" si="7"/>
        <v>1</v>
      </c>
    </row>
    <row r="210" spans="1:11" x14ac:dyDescent="0.3">
      <c r="A210" s="20" t="s">
        <v>334</v>
      </c>
      <c r="B210" s="19">
        <v>72858</v>
      </c>
      <c r="C210" s="25">
        <v>6.8999999999999986</v>
      </c>
      <c r="D210" s="34">
        <v>6.8999999999999986</v>
      </c>
      <c r="E210" s="38">
        <v>46120</v>
      </c>
      <c r="F210" s="42">
        <v>46121</v>
      </c>
      <c r="H210" s="29">
        <f>VLOOKUP(B210,ATL!C:K,8,0)</f>
        <v>6.8999999999999986</v>
      </c>
      <c r="I210" s="29">
        <f>VLOOKUP(B210,ATL!C:K,7,0)</f>
        <v>6.8999999999999986</v>
      </c>
      <c r="J210" t="b">
        <f t="shared" si="6"/>
        <v>1</v>
      </c>
      <c r="K210" t="b">
        <f t="shared" si="7"/>
        <v>1</v>
      </c>
    </row>
    <row r="211" spans="1:11" x14ac:dyDescent="0.3">
      <c r="A211" s="20" t="s">
        <v>334</v>
      </c>
      <c r="B211" s="19">
        <v>72862</v>
      </c>
      <c r="C211" s="25">
        <v>6.8999999999999986</v>
      </c>
      <c r="D211" s="34">
        <v>6.8999999999999986</v>
      </c>
      <c r="E211" s="38">
        <v>46120</v>
      </c>
      <c r="F211" s="42">
        <v>46121</v>
      </c>
      <c r="H211" s="29">
        <f>VLOOKUP(B211,ATL!C:K,8,0)</f>
        <v>6.8999999999999986</v>
      </c>
      <c r="I211" s="29">
        <f>VLOOKUP(B211,ATL!C:K,7,0)</f>
        <v>6.8999999999999986</v>
      </c>
      <c r="J211" t="b">
        <f t="shared" si="6"/>
        <v>1</v>
      </c>
      <c r="K211" t="b">
        <f t="shared" si="7"/>
        <v>1</v>
      </c>
    </row>
    <row r="212" spans="1:11" x14ac:dyDescent="0.3">
      <c r="A212" s="20" t="s">
        <v>334</v>
      </c>
      <c r="B212" s="19">
        <v>72915</v>
      </c>
      <c r="C212" s="25">
        <v>5.52</v>
      </c>
      <c r="D212" s="34">
        <v>5.52</v>
      </c>
      <c r="E212" s="38">
        <v>46120</v>
      </c>
      <c r="F212" s="42">
        <v>46121</v>
      </c>
      <c r="H212" s="29">
        <f>VLOOKUP(B212,ATL!C:K,8,0)</f>
        <v>5.52</v>
      </c>
      <c r="I212" s="29">
        <f>VLOOKUP(B212,ATL!C:K,7,0)</f>
        <v>5.52</v>
      </c>
      <c r="J212" t="b">
        <f t="shared" si="6"/>
        <v>1</v>
      </c>
      <c r="K212" t="b">
        <f t="shared" si="7"/>
        <v>1</v>
      </c>
    </row>
    <row r="213" spans="1:11" x14ac:dyDescent="0.3">
      <c r="A213" s="20" t="s">
        <v>334</v>
      </c>
      <c r="B213" s="19">
        <v>72922</v>
      </c>
      <c r="C213" s="25">
        <v>5.52</v>
      </c>
      <c r="D213" s="34">
        <v>5.52</v>
      </c>
      <c r="E213" s="38">
        <v>46120</v>
      </c>
      <c r="F213" s="42">
        <v>46121</v>
      </c>
      <c r="H213" s="29">
        <f>VLOOKUP(B213,ATL!C:K,8,0)</f>
        <v>5.52</v>
      </c>
      <c r="I213" s="29">
        <f>VLOOKUP(B213,ATL!C:K,7,0)</f>
        <v>5.52</v>
      </c>
      <c r="J213" t="b">
        <f t="shared" si="6"/>
        <v>1</v>
      </c>
      <c r="K213" t="b">
        <f t="shared" si="7"/>
        <v>1</v>
      </c>
    </row>
    <row r="214" spans="1:11" x14ac:dyDescent="0.3">
      <c r="A214" s="20" t="s">
        <v>334</v>
      </c>
      <c r="B214" s="19">
        <v>72926</v>
      </c>
      <c r="C214" s="25">
        <v>5.52</v>
      </c>
      <c r="D214" s="34">
        <v>5.52</v>
      </c>
      <c r="E214" s="38">
        <v>46120</v>
      </c>
      <c r="F214" s="42">
        <v>46121</v>
      </c>
      <c r="H214" s="29">
        <f>VLOOKUP(B214,ATL!C:K,8,0)</f>
        <v>5.52</v>
      </c>
      <c r="I214" s="29">
        <f>VLOOKUP(B214,ATL!C:K,7,0)</f>
        <v>5.52</v>
      </c>
      <c r="J214" t="b">
        <f t="shared" si="6"/>
        <v>1</v>
      </c>
      <c r="K214" t="b">
        <f t="shared" si="7"/>
        <v>1</v>
      </c>
    </row>
    <row r="215" spans="1:11" x14ac:dyDescent="0.3">
      <c r="A215" s="20" t="s">
        <v>334</v>
      </c>
      <c r="B215" s="19">
        <v>72148</v>
      </c>
      <c r="C215" s="25">
        <v>5.52</v>
      </c>
      <c r="D215" s="34">
        <v>5.52</v>
      </c>
      <c r="E215" s="38">
        <v>46120</v>
      </c>
      <c r="F215" s="42">
        <v>46121</v>
      </c>
      <c r="H215" s="29">
        <f>VLOOKUP(B215,ATL!C:K,8,0)</f>
        <v>5.52</v>
      </c>
      <c r="I215" s="29">
        <f>VLOOKUP(B215,ATL!C:K,7,0)</f>
        <v>5.52</v>
      </c>
      <c r="J215" t="b">
        <f t="shared" si="6"/>
        <v>1</v>
      </c>
      <c r="K215" t="b">
        <f t="shared" si="7"/>
        <v>1</v>
      </c>
    </row>
    <row r="216" spans="1:11" x14ac:dyDescent="0.3">
      <c r="A216" s="20" t="s">
        <v>334</v>
      </c>
      <c r="B216" s="19">
        <v>72149</v>
      </c>
      <c r="C216" s="25">
        <v>5.52</v>
      </c>
      <c r="D216" s="34">
        <v>5.52</v>
      </c>
      <c r="E216" s="38">
        <v>46120</v>
      </c>
      <c r="F216" s="42">
        <v>46121</v>
      </c>
      <c r="H216" s="29">
        <f>VLOOKUP(B216,ATL!C:K,8,0)</f>
        <v>5.52</v>
      </c>
      <c r="I216" s="29">
        <f>VLOOKUP(B216,ATL!C:K,7,0)</f>
        <v>5.52</v>
      </c>
      <c r="J216" t="b">
        <f t="shared" si="6"/>
        <v>1</v>
      </c>
      <c r="K216" t="b">
        <f t="shared" si="7"/>
        <v>1</v>
      </c>
    </row>
    <row r="217" spans="1:11" x14ac:dyDescent="0.3">
      <c r="A217" s="20" t="s">
        <v>334</v>
      </c>
      <c r="B217" s="19">
        <v>72164</v>
      </c>
      <c r="C217" s="25">
        <v>5.52</v>
      </c>
      <c r="D217" s="34">
        <v>5.52</v>
      </c>
      <c r="E217" s="38">
        <v>46120</v>
      </c>
      <c r="F217" s="42">
        <v>46121</v>
      </c>
      <c r="H217" s="29">
        <f>VLOOKUP(B217,ATL!C:K,8,0)</f>
        <v>5.52</v>
      </c>
      <c r="I217" s="29">
        <f>VLOOKUP(B217,ATL!C:K,7,0)</f>
        <v>5.52</v>
      </c>
      <c r="J217" t="b">
        <f t="shared" si="6"/>
        <v>1</v>
      </c>
      <c r="K217" t="b">
        <f t="shared" si="7"/>
        <v>1</v>
      </c>
    </row>
    <row r="218" spans="1:11" x14ac:dyDescent="0.3">
      <c r="A218" s="20" t="s">
        <v>334</v>
      </c>
      <c r="B218" s="19">
        <v>72226</v>
      </c>
      <c r="C218" s="25">
        <v>5.52</v>
      </c>
      <c r="D218" s="34">
        <v>5.52</v>
      </c>
      <c r="E218" s="38">
        <v>46120</v>
      </c>
      <c r="F218" s="42">
        <v>46121</v>
      </c>
      <c r="H218" s="29">
        <f>VLOOKUP(B218,ATL!C:K,8,0)</f>
        <v>5.52</v>
      </c>
      <c r="I218" s="29">
        <f>VLOOKUP(B218,ATL!C:K,7,0)</f>
        <v>5.52</v>
      </c>
      <c r="J218" t="b">
        <f t="shared" si="6"/>
        <v>1</v>
      </c>
      <c r="K218" t="b">
        <f t="shared" si="7"/>
        <v>1</v>
      </c>
    </row>
    <row r="219" spans="1:11" x14ac:dyDescent="0.3">
      <c r="A219" s="20" t="s">
        <v>334</v>
      </c>
      <c r="B219" s="19">
        <v>72229</v>
      </c>
      <c r="C219" s="25">
        <v>5.52</v>
      </c>
      <c r="D219" s="34">
        <v>5.52</v>
      </c>
      <c r="E219" s="38">
        <v>46120</v>
      </c>
      <c r="F219" s="42">
        <v>46121</v>
      </c>
      <c r="H219" s="29">
        <f>VLOOKUP(B219,ATL!C:K,8,0)</f>
        <v>5.52</v>
      </c>
      <c r="I219" s="29">
        <f>VLOOKUP(B219,ATL!C:K,7,0)</f>
        <v>5.52</v>
      </c>
      <c r="J219" t="b">
        <f t="shared" si="6"/>
        <v>1</v>
      </c>
      <c r="K219" t="b">
        <f t="shared" si="7"/>
        <v>1</v>
      </c>
    </row>
    <row r="220" spans="1:11" x14ac:dyDescent="0.3">
      <c r="A220" s="20" t="s">
        <v>334</v>
      </c>
      <c r="B220" s="19">
        <v>72233</v>
      </c>
      <c r="C220" s="25">
        <v>5.52</v>
      </c>
      <c r="D220" s="34">
        <v>5.52</v>
      </c>
      <c r="E220" s="38">
        <v>46120</v>
      </c>
      <c r="F220" s="42">
        <v>46121</v>
      </c>
      <c r="H220" s="29">
        <f>VLOOKUP(B220,ATL!C:K,8,0)</f>
        <v>5.52</v>
      </c>
      <c r="I220" s="29">
        <f>VLOOKUP(B220,ATL!C:K,7,0)</f>
        <v>5.52</v>
      </c>
      <c r="J220" t="b">
        <f t="shared" si="6"/>
        <v>1</v>
      </c>
      <c r="K220" t="b">
        <f t="shared" si="7"/>
        <v>1</v>
      </c>
    </row>
    <row r="221" spans="1:11" x14ac:dyDescent="0.3">
      <c r="A221" s="20" t="s">
        <v>334</v>
      </c>
      <c r="B221" s="19">
        <v>72393</v>
      </c>
      <c r="C221" s="25">
        <v>5.52</v>
      </c>
      <c r="D221" s="34">
        <v>5.52</v>
      </c>
      <c r="E221" s="38">
        <v>46120</v>
      </c>
      <c r="F221" s="42">
        <v>46121</v>
      </c>
      <c r="H221" s="29">
        <f>VLOOKUP(B221,ATL!C:K,8,0)</f>
        <v>5.52</v>
      </c>
      <c r="I221" s="29">
        <f>VLOOKUP(B221,ATL!C:K,7,0)</f>
        <v>5.52</v>
      </c>
      <c r="J221" t="b">
        <f t="shared" si="6"/>
        <v>1</v>
      </c>
      <c r="K221" t="b">
        <f t="shared" si="7"/>
        <v>1</v>
      </c>
    </row>
    <row r="222" spans="1:11" x14ac:dyDescent="0.3">
      <c r="A222" s="20" t="s">
        <v>334</v>
      </c>
      <c r="B222" s="19">
        <v>74120</v>
      </c>
      <c r="C222" s="25">
        <v>5.52</v>
      </c>
      <c r="D222" s="34">
        <v>5.52</v>
      </c>
      <c r="E222" s="38">
        <v>46120</v>
      </c>
      <c r="F222" s="42">
        <v>46121</v>
      </c>
      <c r="H222" s="29">
        <f>VLOOKUP(B222,ATL!C:K,8,0)</f>
        <v>5.52</v>
      </c>
      <c r="I222" s="29">
        <f>VLOOKUP(B222,ATL!C:K,7,0)</f>
        <v>5.52</v>
      </c>
      <c r="J222" t="b">
        <f t="shared" si="6"/>
        <v>1</v>
      </c>
      <c r="K222" t="b">
        <f t="shared" si="7"/>
        <v>1</v>
      </c>
    </row>
    <row r="223" spans="1:11" x14ac:dyDescent="0.3">
      <c r="A223" s="20" t="s">
        <v>334</v>
      </c>
      <c r="B223" s="19">
        <v>77657</v>
      </c>
      <c r="C223" s="25">
        <v>5.52</v>
      </c>
      <c r="D223" s="34">
        <v>5.52</v>
      </c>
      <c r="E223" s="38">
        <v>46120</v>
      </c>
      <c r="F223" s="42">
        <v>46121</v>
      </c>
      <c r="H223" s="29">
        <f>VLOOKUP(B223,ATL!C:K,8,0)</f>
        <v>5.52</v>
      </c>
      <c r="I223" s="29">
        <f>VLOOKUP(B223,ATL!C:K,7,0)</f>
        <v>5.52</v>
      </c>
      <c r="J223" t="b">
        <f t="shared" si="6"/>
        <v>1</v>
      </c>
      <c r="K223" t="b">
        <f t="shared" si="7"/>
        <v>1</v>
      </c>
    </row>
    <row r="224" spans="1:11" x14ac:dyDescent="0.3">
      <c r="A224" s="20" t="s">
        <v>334</v>
      </c>
      <c r="B224" s="19">
        <v>72628</v>
      </c>
      <c r="C224" s="25">
        <v>93.015000000000001</v>
      </c>
      <c r="D224" s="34">
        <v>93.015000000000001</v>
      </c>
      <c r="E224" s="38">
        <v>46120</v>
      </c>
      <c r="F224" s="42">
        <v>46121</v>
      </c>
      <c r="H224" s="29">
        <f>VLOOKUP(B224,ATL!C:K,8,0)</f>
        <v>93.015000000000001</v>
      </c>
      <c r="I224" s="29">
        <f>VLOOKUP(B224,ATL!C:K,7,0)</f>
        <v>93.015000000000001</v>
      </c>
      <c r="J224" t="b">
        <f t="shared" si="6"/>
        <v>1</v>
      </c>
      <c r="K224" t="b">
        <f t="shared" si="7"/>
        <v>1</v>
      </c>
    </row>
    <row r="225" spans="1:11" x14ac:dyDescent="0.3">
      <c r="A225" s="20" t="s">
        <v>334</v>
      </c>
      <c r="B225" s="19">
        <v>72648</v>
      </c>
      <c r="C225" s="25">
        <v>93.015000000000001</v>
      </c>
      <c r="D225" s="34">
        <v>93.015000000000001</v>
      </c>
      <c r="E225" s="38">
        <v>46120</v>
      </c>
      <c r="F225" s="42">
        <v>46121</v>
      </c>
      <c r="H225" s="29">
        <f>VLOOKUP(B225,ATL!C:K,8,0)</f>
        <v>93.015000000000001</v>
      </c>
      <c r="I225" s="29">
        <f>VLOOKUP(B225,ATL!C:K,7,0)</f>
        <v>93.015000000000001</v>
      </c>
      <c r="J225" t="b">
        <f t="shared" si="6"/>
        <v>1</v>
      </c>
      <c r="K225" t="b">
        <f t="shared" si="7"/>
        <v>1</v>
      </c>
    </row>
    <row r="226" spans="1:11" x14ac:dyDescent="0.3">
      <c r="A226" s="20" t="s">
        <v>334</v>
      </c>
      <c r="B226" s="19">
        <v>72650</v>
      </c>
      <c r="C226" s="25">
        <v>93.015000000000001</v>
      </c>
      <c r="D226" s="34">
        <v>93.015000000000001</v>
      </c>
      <c r="E226" s="38">
        <v>46120</v>
      </c>
      <c r="F226" s="42">
        <v>46121</v>
      </c>
      <c r="H226" s="29">
        <f>VLOOKUP(B226,ATL!C:K,8,0)</f>
        <v>93.015000000000001</v>
      </c>
      <c r="I226" s="29">
        <f>VLOOKUP(B226,ATL!C:K,7,0)</f>
        <v>93.015000000000001</v>
      </c>
      <c r="J226" t="b">
        <f t="shared" si="6"/>
        <v>1</v>
      </c>
      <c r="K226" t="b">
        <f t="shared" si="7"/>
        <v>1</v>
      </c>
    </row>
    <row r="227" spans="1:11" x14ac:dyDescent="0.3">
      <c r="A227" s="20" t="s">
        <v>334</v>
      </c>
      <c r="B227" s="19">
        <v>72658</v>
      </c>
      <c r="C227" s="25">
        <v>93.015000000000001</v>
      </c>
      <c r="D227" s="34">
        <v>93.015000000000001</v>
      </c>
      <c r="E227" s="38">
        <v>46120</v>
      </c>
      <c r="F227" s="42">
        <v>46121</v>
      </c>
      <c r="H227" s="29">
        <f>VLOOKUP(B227,ATL!C:K,8,0)</f>
        <v>93.015000000000001</v>
      </c>
      <c r="I227" s="29">
        <f>VLOOKUP(B227,ATL!C:K,7,0)</f>
        <v>93.015000000000001</v>
      </c>
      <c r="J227" t="b">
        <f t="shared" si="6"/>
        <v>1</v>
      </c>
      <c r="K227" t="b">
        <f t="shared" si="7"/>
        <v>1</v>
      </c>
    </row>
    <row r="228" spans="1:11" x14ac:dyDescent="0.3">
      <c r="A228" s="20" t="s">
        <v>334</v>
      </c>
      <c r="B228" s="19">
        <v>72714</v>
      </c>
      <c r="C228" s="25">
        <v>93.015000000000001</v>
      </c>
      <c r="D228" s="34">
        <v>93.015000000000001</v>
      </c>
      <c r="E228" s="38">
        <v>46120</v>
      </c>
      <c r="F228" s="42">
        <v>46121</v>
      </c>
      <c r="H228" s="29">
        <f>VLOOKUP(B228,ATL!C:K,8,0)</f>
        <v>93.015000000000001</v>
      </c>
      <c r="I228" s="29">
        <f>VLOOKUP(B228,ATL!C:K,7,0)</f>
        <v>93.015000000000001</v>
      </c>
      <c r="J228" t="b">
        <f t="shared" si="6"/>
        <v>1</v>
      </c>
      <c r="K228" t="b">
        <f t="shared" si="7"/>
        <v>1</v>
      </c>
    </row>
    <row r="229" spans="1:11" x14ac:dyDescent="0.3">
      <c r="A229" s="20" t="s">
        <v>334</v>
      </c>
      <c r="B229" s="19">
        <v>72715</v>
      </c>
      <c r="C229" s="25">
        <v>93.015000000000001</v>
      </c>
      <c r="D229" s="34">
        <v>93.015000000000001</v>
      </c>
      <c r="E229" s="38">
        <v>46120</v>
      </c>
      <c r="F229" s="42">
        <v>46121</v>
      </c>
      <c r="H229" s="29">
        <f>VLOOKUP(B229,ATL!C:K,8,0)</f>
        <v>93.015000000000001</v>
      </c>
      <c r="I229" s="29">
        <f>VLOOKUP(B229,ATL!C:K,7,0)</f>
        <v>93.015000000000001</v>
      </c>
      <c r="J229" t="b">
        <f t="shared" si="6"/>
        <v>1</v>
      </c>
      <c r="K229" t="b">
        <f t="shared" si="7"/>
        <v>1</v>
      </c>
    </row>
    <row r="230" spans="1:11" x14ac:dyDescent="0.3">
      <c r="A230" s="20" t="s">
        <v>334</v>
      </c>
      <c r="B230" s="19">
        <v>72716</v>
      </c>
      <c r="C230" s="25">
        <v>93.015000000000001</v>
      </c>
      <c r="D230" s="34">
        <v>93.015000000000001</v>
      </c>
      <c r="E230" s="38">
        <v>46120</v>
      </c>
      <c r="F230" s="42">
        <v>46121</v>
      </c>
      <c r="H230" s="29">
        <f>VLOOKUP(B230,ATL!C:K,8,0)</f>
        <v>93.015000000000001</v>
      </c>
      <c r="I230" s="29">
        <f>VLOOKUP(B230,ATL!C:K,7,0)</f>
        <v>93.015000000000001</v>
      </c>
      <c r="J230" t="b">
        <f t="shared" si="6"/>
        <v>1</v>
      </c>
      <c r="K230" t="b">
        <f t="shared" si="7"/>
        <v>1</v>
      </c>
    </row>
    <row r="231" spans="1:11" x14ac:dyDescent="0.3">
      <c r="A231" s="20" t="s">
        <v>334</v>
      </c>
      <c r="B231" s="19">
        <v>72722</v>
      </c>
      <c r="C231" s="25">
        <v>93.015000000000001</v>
      </c>
      <c r="D231" s="34">
        <v>93.015000000000001</v>
      </c>
      <c r="E231" s="38">
        <v>46120</v>
      </c>
      <c r="F231" s="42">
        <v>46121</v>
      </c>
      <c r="H231" s="29">
        <f>VLOOKUP(B231,ATL!C:K,8,0)</f>
        <v>93.015000000000001</v>
      </c>
      <c r="I231" s="29">
        <f>VLOOKUP(B231,ATL!C:K,7,0)</f>
        <v>93.015000000000001</v>
      </c>
      <c r="J231" t="b">
        <f t="shared" si="6"/>
        <v>1</v>
      </c>
      <c r="K231" t="b">
        <f t="shared" si="7"/>
        <v>1</v>
      </c>
    </row>
    <row r="232" spans="1:11" x14ac:dyDescent="0.3">
      <c r="A232" s="20" t="s">
        <v>334</v>
      </c>
      <c r="B232" s="19">
        <v>71996</v>
      </c>
      <c r="C232" s="25">
        <v>93.015000000000001</v>
      </c>
      <c r="D232" s="34">
        <v>93.015000000000001</v>
      </c>
      <c r="E232" s="38">
        <v>46120</v>
      </c>
      <c r="F232" s="42">
        <v>46121</v>
      </c>
      <c r="H232" s="29">
        <f>VLOOKUP(B232,ATL!C:K,8,0)</f>
        <v>93.015000000000001</v>
      </c>
      <c r="I232" s="29">
        <f>VLOOKUP(B232,ATL!C:K,7,0)</f>
        <v>93.015000000000001</v>
      </c>
      <c r="J232" t="b">
        <f t="shared" si="6"/>
        <v>1</v>
      </c>
      <c r="K232" t="b">
        <f t="shared" si="7"/>
        <v>1</v>
      </c>
    </row>
    <row r="233" spans="1:11" x14ac:dyDescent="0.3">
      <c r="A233" s="20" t="s">
        <v>334</v>
      </c>
      <c r="B233" s="19">
        <v>23755</v>
      </c>
      <c r="C233" s="26">
        <v>0</v>
      </c>
      <c r="D233" s="35">
        <v>0</v>
      </c>
      <c r="E233" s="38">
        <v>46120</v>
      </c>
      <c r="F233" s="42">
        <v>46121</v>
      </c>
      <c r="H233" s="29">
        <f>VLOOKUP(B233,ATL!C:K,8,0)</f>
        <v>0</v>
      </c>
      <c r="I233" s="29">
        <f>VLOOKUP(B233,ATL!C:K,7,0)</f>
        <v>0</v>
      </c>
      <c r="J233" t="b">
        <f t="shared" si="6"/>
        <v>1</v>
      </c>
      <c r="K233" t="b">
        <f t="shared" si="7"/>
        <v>1</v>
      </c>
    </row>
    <row r="234" spans="1:11" x14ac:dyDescent="0.3">
      <c r="A234" s="20" t="s">
        <v>334</v>
      </c>
      <c r="B234" s="19">
        <v>25170</v>
      </c>
      <c r="C234" s="26">
        <v>0</v>
      </c>
      <c r="D234" s="35">
        <v>0</v>
      </c>
      <c r="E234" s="38">
        <v>46120</v>
      </c>
      <c r="F234" s="42">
        <v>46121</v>
      </c>
      <c r="H234" s="29">
        <f>VLOOKUP(B234,ATL!C:K,8,0)</f>
        <v>0</v>
      </c>
      <c r="I234" s="29">
        <f>VLOOKUP(B234,ATL!C:K,7,0)</f>
        <v>0</v>
      </c>
      <c r="J234" t="b">
        <f t="shared" si="6"/>
        <v>1</v>
      </c>
      <c r="K234" t="b">
        <f t="shared" si="7"/>
        <v>1</v>
      </c>
    </row>
    <row r="235" spans="1:11" x14ac:dyDescent="0.3">
      <c r="A235" s="20" t="s">
        <v>334</v>
      </c>
      <c r="B235" s="19">
        <v>35523</v>
      </c>
      <c r="C235" s="26">
        <v>0</v>
      </c>
      <c r="D235" s="35">
        <v>0</v>
      </c>
      <c r="E235" s="38">
        <v>46120</v>
      </c>
      <c r="F235" s="42">
        <v>46121</v>
      </c>
      <c r="H235" s="29">
        <f>VLOOKUP(B235,ATL!C:K,8,0)</f>
        <v>0</v>
      </c>
      <c r="I235" s="29">
        <f>VLOOKUP(B235,ATL!C:K,7,0)</f>
        <v>0</v>
      </c>
      <c r="J235" t="b">
        <f t="shared" si="6"/>
        <v>1</v>
      </c>
      <c r="K235" t="b">
        <f t="shared" si="7"/>
        <v>1</v>
      </c>
    </row>
    <row r="236" spans="1:11" x14ac:dyDescent="0.3">
      <c r="A236" s="20" t="s">
        <v>334</v>
      </c>
      <c r="B236" s="19">
        <v>35524</v>
      </c>
      <c r="C236" s="26">
        <v>0</v>
      </c>
      <c r="D236" s="35">
        <v>0</v>
      </c>
      <c r="E236" s="38">
        <v>46120</v>
      </c>
      <c r="F236" s="42">
        <v>46121</v>
      </c>
      <c r="H236" s="29">
        <f>VLOOKUP(B236,ATL!C:K,8,0)</f>
        <v>0</v>
      </c>
      <c r="I236" s="29">
        <f>VLOOKUP(B236,ATL!C:K,7,0)</f>
        <v>0</v>
      </c>
      <c r="J236" t="b">
        <f t="shared" si="6"/>
        <v>1</v>
      </c>
      <c r="K236" t="b">
        <f t="shared" si="7"/>
        <v>1</v>
      </c>
    </row>
    <row r="237" spans="1:11" x14ac:dyDescent="0.3">
      <c r="A237" s="20" t="s">
        <v>334</v>
      </c>
      <c r="B237" s="19">
        <v>35525</v>
      </c>
      <c r="C237" s="26">
        <v>0</v>
      </c>
      <c r="D237" s="35">
        <v>0</v>
      </c>
      <c r="E237" s="38">
        <v>46120</v>
      </c>
      <c r="F237" s="42">
        <v>46121</v>
      </c>
      <c r="H237" s="29">
        <f>VLOOKUP(B237,ATL!C:K,8,0)</f>
        <v>0</v>
      </c>
      <c r="I237" s="29">
        <f>VLOOKUP(B237,ATL!C:K,7,0)</f>
        <v>0</v>
      </c>
      <c r="J237" t="b">
        <f t="shared" si="6"/>
        <v>1</v>
      </c>
      <c r="K237" t="b">
        <f t="shared" si="7"/>
        <v>1</v>
      </c>
    </row>
    <row r="238" spans="1:11" x14ac:dyDescent="0.3">
      <c r="A238" s="20" t="s">
        <v>334</v>
      </c>
      <c r="B238" s="19">
        <v>35526</v>
      </c>
      <c r="C238" s="26">
        <v>0</v>
      </c>
      <c r="D238" s="35">
        <v>0</v>
      </c>
      <c r="E238" s="38">
        <v>46120</v>
      </c>
      <c r="F238" s="42">
        <v>46121</v>
      </c>
      <c r="H238" s="29">
        <f>VLOOKUP(B238,ATL!C:K,8,0)</f>
        <v>0</v>
      </c>
      <c r="I238" s="29">
        <f>VLOOKUP(B238,ATL!C:K,7,0)</f>
        <v>0</v>
      </c>
      <c r="J238" t="b">
        <f t="shared" si="6"/>
        <v>1</v>
      </c>
      <c r="K238" t="b">
        <f t="shared" si="7"/>
        <v>1</v>
      </c>
    </row>
    <row r="239" spans="1:11" x14ac:dyDescent="0.3">
      <c r="A239" s="20" t="s">
        <v>334</v>
      </c>
      <c r="B239" s="19">
        <v>43308</v>
      </c>
      <c r="C239" s="26">
        <v>0</v>
      </c>
      <c r="D239" s="35">
        <v>0</v>
      </c>
      <c r="E239" s="38">
        <v>46120</v>
      </c>
      <c r="F239" s="42">
        <v>46121</v>
      </c>
      <c r="H239" s="29">
        <f>VLOOKUP(B239,ATL!C:K,8,0)</f>
        <v>0</v>
      </c>
      <c r="I239" s="29">
        <f>VLOOKUP(B239,ATL!C:K,7,0)</f>
        <v>0</v>
      </c>
      <c r="J239" t="b">
        <f t="shared" si="6"/>
        <v>1</v>
      </c>
      <c r="K239" t="b">
        <f t="shared" si="7"/>
        <v>1</v>
      </c>
    </row>
    <row r="240" spans="1:11" x14ac:dyDescent="0.3">
      <c r="A240" s="20" t="s">
        <v>334</v>
      </c>
      <c r="B240" s="19">
        <v>43309</v>
      </c>
      <c r="C240" s="26">
        <v>0</v>
      </c>
      <c r="D240" s="35">
        <v>0</v>
      </c>
      <c r="E240" s="38">
        <v>46120</v>
      </c>
      <c r="F240" s="42">
        <v>46121</v>
      </c>
      <c r="H240" s="29">
        <f>VLOOKUP(B240,ATL!C:K,8,0)</f>
        <v>0</v>
      </c>
      <c r="I240" s="29">
        <f>VLOOKUP(B240,ATL!C:K,7,0)</f>
        <v>0</v>
      </c>
      <c r="J240" t="b">
        <f t="shared" si="6"/>
        <v>1</v>
      </c>
      <c r="K240" t="b">
        <f t="shared" si="7"/>
        <v>1</v>
      </c>
    </row>
    <row r="241" spans="1:11" x14ac:dyDescent="0.3">
      <c r="A241" s="20" t="s">
        <v>334</v>
      </c>
      <c r="B241" s="19">
        <v>55003</v>
      </c>
      <c r="C241" s="26">
        <v>0</v>
      </c>
      <c r="D241" s="35">
        <v>0</v>
      </c>
      <c r="E241" s="38">
        <v>46120</v>
      </c>
      <c r="F241" s="42">
        <v>46121</v>
      </c>
      <c r="H241" s="29">
        <f>VLOOKUP(B241,ATL!C:K,8,0)</f>
        <v>0</v>
      </c>
      <c r="I241" s="29">
        <f>VLOOKUP(B241,ATL!C:K,7,0)</f>
        <v>0</v>
      </c>
      <c r="J241" t="b">
        <f t="shared" si="6"/>
        <v>1</v>
      </c>
      <c r="K241" t="b">
        <f t="shared" si="7"/>
        <v>1</v>
      </c>
    </row>
    <row r="242" spans="1:11" x14ac:dyDescent="0.3">
      <c r="A242" s="20" t="s">
        <v>334</v>
      </c>
      <c r="B242" s="19">
        <v>55006</v>
      </c>
      <c r="C242" s="26">
        <v>0</v>
      </c>
      <c r="D242" s="35">
        <v>0</v>
      </c>
      <c r="E242" s="38">
        <v>46120</v>
      </c>
      <c r="F242" s="42">
        <v>46121</v>
      </c>
      <c r="H242" s="29">
        <f>VLOOKUP(B242,ATL!C:K,8,0)</f>
        <v>0</v>
      </c>
      <c r="I242" s="29">
        <f>VLOOKUP(B242,ATL!C:K,7,0)</f>
        <v>0</v>
      </c>
      <c r="J242" t="b">
        <f t="shared" si="6"/>
        <v>1</v>
      </c>
      <c r="K242" t="b">
        <f t="shared" si="7"/>
        <v>1</v>
      </c>
    </row>
    <row r="243" spans="1:11" x14ac:dyDescent="0.3">
      <c r="A243" s="20" t="s">
        <v>334</v>
      </c>
      <c r="B243" s="19">
        <v>55007</v>
      </c>
      <c r="C243" s="26">
        <v>0</v>
      </c>
      <c r="D243" s="35">
        <v>0</v>
      </c>
      <c r="E243" s="38">
        <v>46120</v>
      </c>
      <c r="F243" s="42">
        <v>46121</v>
      </c>
      <c r="H243" s="29">
        <f>VLOOKUP(B243,ATL!C:K,8,0)</f>
        <v>0</v>
      </c>
      <c r="I243" s="29">
        <f>VLOOKUP(B243,ATL!C:K,7,0)</f>
        <v>0</v>
      </c>
      <c r="J243" t="b">
        <f t="shared" si="6"/>
        <v>1</v>
      </c>
      <c r="K243" t="b">
        <f t="shared" si="7"/>
        <v>1</v>
      </c>
    </row>
    <row r="244" spans="1:11" x14ac:dyDescent="0.3">
      <c r="A244" s="20" t="s">
        <v>334</v>
      </c>
      <c r="B244" s="19">
        <v>55228</v>
      </c>
      <c r="C244" s="26">
        <v>0</v>
      </c>
      <c r="D244" s="35">
        <v>0</v>
      </c>
      <c r="E244" s="38">
        <v>46120</v>
      </c>
      <c r="F244" s="42">
        <v>46121</v>
      </c>
      <c r="H244" s="29">
        <f>VLOOKUP(B244,ATL!C:K,8,0)</f>
        <v>0</v>
      </c>
      <c r="I244" s="29">
        <f>VLOOKUP(B244,ATL!C:K,7,0)</f>
        <v>0</v>
      </c>
      <c r="J244" t="b">
        <f t="shared" si="6"/>
        <v>1</v>
      </c>
      <c r="K244" t="b">
        <f t="shared" si="7"/>
        <v>1</v>
      </c>
    </row>
    <row r="245" spans="1:11" x14ac:dyDescent="0.3">
      <c r="A245" s="20" t="s">
        <v>334</v>
      </c>
      <c r="B245" s="19">
        <v>55229</v>
      </c>
      <c r="C245" s="26">
        <v>0</v>
      </c>
      <c r="D245" s="35">
        <v>0</v>
      </c>
      <c r="E245" s="38">
        <v>46120</v>
      </c>
      <c r="F245" s="42">
        <v>46121</v>
      </c>
      <c r="H245" s="29">
        <f>VLOOKUP(B245,ATL!C:K,8,0)</f>
        <v>0</v>
      </c>
      <c r="I245" s="29">
        <f>VLOOKUP(B245,ATL!C:K,7,0)</f>
        <v>0</v>
      </c>
      <c r="J245" t="b">
        <f t="shared" si="6"/>
        <v>1</v>
      </c>
      <c r="K245" t="b">
        <f t="shared" si="7"/>
        <v>1</v>
      </c>
    </row>
    <row r="246" spans="1:11" x14ac:dyDescent="0.3">
      <c r="A246" s="20" t="s">
        <v>334</v>
      </c>
      <c r="B246" s="19">
        <v>55458</v>
      </c>
      <c r="C246" s="26">
        <v>0</v>
      </c>
      <c r="D246" s="35">
        <v>0</v>
      </c>
      <c r="E246" s="38">
        <v>46120</v>
      </c>
      <c r="F246" s="42">
        <v>46121</v>
      </c>
      <c r="H246" s="29">
        <f>VLOOKUP(B246,ATL!C:K,8,0)</f>
        <v>0</v>
      </c>
      <c r="I246" s="29">
        <f>VLOOKUP(B246,ATL!C:K,7,0)</f>
        <v>0</v>
      </c>
      <c r="J246" t="b">
        <f t="shared" si="6"/>
        <v>1</v>
      </c>
      <c r="K246" t="b">
        <f t="shared" si="7"/>
        <v>1</v>
      </c>
    </row>
    <row r="247" spans="1:11" x14ac:dyDescent="0.3">
      <c r="A247" s="20" t="s">
        <v>334</v>
      </c>
      <c r="B247" s="19">
        <v>56164</v>
      </c>
      <c r="C247" s="26">
        <v>0</v>
      </c>
      <c r="D247" s="35">
        <v>0</v>
      </c>
      <c r="E247" s="38">
        <v>46120</v>
      </c>
      <c r="F247" s="42">
        <v>46121</v>
      </c>
      <c r="H247" s="29">
        <f>VLOOKUP(B247,ATL!C:K,8,0)</f>
        <v>0</v>
      </c>
      <c r="I247" s="29">
        <f>VLOOKUP(B247,ATL!C:K,7,0)</f>
        <v>0</v>
      </c>
      <c r="J247" t="b">
        <f t="shared" si="6"/>
        <v>1</v>
      </c>
      <c r="K247" t="b">
        <f t="shared" si="7"/>
        <v>1</v>
      </c>
    </row>
    <row r="248" spans="1:11" x14ac:dyDescent="0.3">
      <c r="A248" s="20" t="s">
        <v>334</v>
      </c>
      <c r="B248" s="19">
        <v>56321</v>
      </c>
      <c r="C248" s="26">
        <v>0</v>
      </c>
      <c r="D248" s="35">
        <v>0</v>
      </c>
      <c r="E248" s="38">
        <v>46120</v>
      </c>
      <c r="F248" s="42">
        <v>46121</v>
      </c>
      <c r="H248" s="29">
        <f>VLOOKUP(B248,ATL!C:K,8,0)</f>
        <v>0</v>
      </c>
      <c r="I248" s="29">
        <f>VLOOKUP(B248,ATL!C:K,7,0)</f>
        <v>0</v>
      </c>
      <c r="J248" t="b">
        <f t="shared" si="6"/>
        <v>1</v>
      </c>
      <c r="K248" t="b">
        <f t="shared" si="7"/>
        <v>1</v>
      </c>
    </row>
    <row r="249" spans="1:11" x14ac:dyDescent="0.3">
      <c r="A249" s="20" t="s">
        <v>334</v>
      </c>
      <c r="B249" s="19">
        <v>57463</v>
      </c>
      <c r="C249" s="26">
        <v>0</v>
      </c>
      <c r="D249" s="35">
        <v>0</v>
      </c>
      <c r="E249" s="38">
        <v>46120</v>
      </c>
      <c r="F249" s="42">
        <v>46121</v>
      </c>
      <c r="H249" s="29">
        <f>VLOOKUP(B249,ATL!C:K,8,0)</f>
        <v>0</v>
      </c>
      <c r="I249" s="29">
        <f>VLOOKUP(B249,ATL!C:K,7,0)</f>
        <v>0</v>
      </c>
      <c r="J249" t="b">
        <f t="shared" si="6"/>
        <v>1</v>
      </c>
      <c r="K249" t="b">
        <f t="shared" si="7"/>
        <v>1</v>
      </c>
    </row>
    <row r="250" spans="1:11" x14ac:dyDescent="0.3">
      <c r="A250" s="20" t="s">
        <v>334</v>
      </c>
      <c r="B250" s="19">
        <v>58335</v>
      </c>
      <c r="C250" s="26">
        <v>0</v>
      </c>
      <c r="D250" s="35">
        <v>0</v>
      </c>
      <c r="E250" s="38">
        <v>46120</v>
      </c>
      <c r="F250" s="42">
        <v>46121</v>
      </c>
      <c r="H250" s="29">
        <f>VLOOKUP(B250,ATL!C:K,8,0)</f>
        <v>0</v>
      </c>
      <c r="I250" s="29">
        <f>VLOOKUP(B250,ATL!C:K,7,0)</f>
        <v>0</v>
      </c>
      <c r="J250" t="b">
        <f t="shared" si="6"/>
        <v>1</v>
      </c>
      <c r="K250" t="b">
        <f t="shared" si="7"/>
        <v>1</v>
      </c>
    </row>
    <row r="251" spans="1:11" x14ac:dyDescent="0.3">
      <c r="A251" s="20" t="s">
        <v>334</v>
      </c>
      <c r="B251" s="19">
        <v>58342</v>
      </c>
      <c r="C251" s="26">
        <v>0</v>
      </c>
      <c r="D251" s="35">
        <v>0</v>
      </c>
      <c r="E251" s="38">
        <v>46120</v>
      </c>
      <c r="F251" s="42">
        <v>46121</v>
      </c>
      <c r="H251" s="29">
        <f>VLOOKUP(B251,ATL!C:K,8,0)</f>
        <v>0</v>
      </c>
      <c r="I251" s="29">
        <f>VLOOKUP(B251,ATL!C:K,7,0)</f>
        <v>0</v>
      </c>
      <c r="J251" t="b">
        <f t="shared" si="6"/>
        <v>1</v>
      </c>
      <c r="K251" t="b">
        <f t="shared" si="7"/>
        <v>1</v>
      </c>
    </row>
    <row r="252" spans="1:11" x14ac:dyDescent="0.3">
      <c r="A252" s="20" t="s">
        <v>334</v>
      </c>
      <c r="B252" s="19">
        <v>58343</v>
      </c>
      <c r="C252" s="26">
        <v>0</v>
      </c>
      <c r="D252" s="35">
        <v>0</v>
      </c>
      <c r="E252" s="38">
        <v>46120</v>
      </c>
      <c r="F252" s="42">
        <v>46121</v>
      </c>
      <c r="H252" s="29">
        <f>VLOOKUP(B252,ATL!C:K,8,0)</f>
        <v>0</v>
      </c>
      <c r="I252" s="29">
        <f>VLOOKUP(B252,ATL!C:K,7,0)</f>
        <v>0</v>
      </c>
      <c r="J252" t="b">
        <f t="shared" si="6"/>
        <v>1</v>
      </c>
      <c r="K252" t="b">
        <f t="shared" si="7"/>
        <v>1</v>
      </c>
    </row>
    <row r="253" spans="1:11" x14ac:dyDescent="0.3">
      <c r="A253" s="20" t="s">
        <v>334</v>
      </c>
      <c r="B253" s="19">
        <v>58353</v>
      </c>
      <c r="C253" s="26">
        <v>0</v>
      </c>
      <c r="D253" s="35">
        <v>0</v>
      </c>
      <c r="E253" s="38">
        <v>46120</v>
      </c>
      <c r="F253" s="42">
        <v>46121</v>
      </c>
      <c r="H253" s="29">
        <f>VLOOKUP(B253,ATL!C:K,8,0)</f>
        <v>0</v>
      </c>
      <c r="I253" s="29">
        <f>VLOOKUP(B253,ATL!C:K,7,0)</f>
        <v>0</v>
      </c>
      <c r="J253" t="b">
        <f t="shared" si="6"/>
        <v>1</v>
      </c>
      <c r="K253" t="b">
        <f t="shared" si="7"/>
        <v>1</v>
      </c>
    </row>
    <row r="254" spans="1:11" x14ac:dyDescent="0.3">
      <c r="A254" s="20" t="s">
        <v>334</v>
      </c>
      <c r="B254" s="19">
        <v>58355</v>
      </c>
      <c r="C254" s="26">
        <v>0</v>
      </c>
      <c r="D254" s="35">
        <v>0</v>
      </c>
      <c r="E254" s="38">
        <v>46120</v>
      </c>
      <c r="F254" s="42">
        <v>46121</v>
      </c>
      <c r="H254" s="29">
        <f>VLOOKUP(B254,ATL!C:K,8,0)</f>
        <v>0</v>
      </c>
      <c r="I254" s="29">
        <f>VLOOKUP(B254,ATL!C:K,7,0)</f>
        <v>0</v>
      </c>
      <c r="J254" t="b">
        <f t="shared" si="6"/>
        <v>1</v>
      </c>
      <c r="K254" t="b">
        <f t="shared" si="7"/>
        <v>1</v>
      </c>
    </row>
    <row r="255" spans="1:11" x14ac:dyDescent="0.3">
      <c r="A255" s="20" t="s">
        <v>334</v>
      </c>
      <c r="B255" s="19">
        <v>58502</v>
      </c>
      <c r="C255" s="26">
        <v>0</v>
      </c>
      <c r="D255" s="35">
        <v>0</v>
      </c>
      <c r="E255" s="38">
        <v>46120</v>
      </c>
      <c r="F255" s="42">
        <v>46121</v>
      </c>
      <c r="H255" s="29">
        <f>VLOOKUP(B255,ATL!C:K,8,0)</f>
        <v>0</v>
      </c>
      <c r="I255" s="29">
        <f>VLOOKUP(B255,ATL!C:K,7,0)</f>
        <v>0</v>
      </c>
      <c r="J255" t="b">
        <f t="shared" si="6"/>
        <v>1</v>
      </c>
      <c r="K255" t="b">
        <f t="shared" si="7"/>
        <v>1</v>
      </c>
    </row>
    <row r="256" spans="1:11" x14ac:dyDescent="0.3">
      <c r="A256" s="20" t="s">
        <v>334</v>
      </c>
      <c r="B256" s="19">
        <v>62706</v>
      </c>
      <c r="C256" s="26">
        <v>0</v>
      </c>
      <c r="D256" s="35">
        <v>0</v>
      </c>
      <c r="E256" s="38">
        <v>46120</v>
      </c>
      <c r="F256" s="42">
        <v>46121</v>
      </c>
      <c r="H256" s="29">
        <f>VLOOKUP(B256,ATL!C:K,8,0)</f>
        <v>0</v>
      </c>
      <c r="I256" s="29">
        <f>VLOOKUP(B256,ATL!C:K,7,0)</f>
        <v>0</v>
      </c>
      <c r="J256" t="b">
        <f t="shared" si="6"/>
        <v>1</v>
      </c>
      <c r="K256" t="b">
        <f t="shared" si="7"/>
        <v>1</v>
      </c>
    </row>
    <row r="257" spans="1:11" x14ac:dyDescent="0.3">
      <c r="A257" s="20" t="s">
        <v>334</v>
      </c>
      <c r="B257" s="19">
        <v>62743</v>
      </c>
      <c r="C257" s="26">
        <v>0</v>
      </c>
      <c r="D257" s="35">
        <v>0</v>
      </c>
      <c r="E257" s="38">
        <v>46120</v>
      </c>
      <c r="F257" s="42">
        <v>46121</v>
      </c>
      <c r="H257" s="29">
        <f>VLOOKUP(B257,ATL!C:K,8,0)</f>
        <v>0</v>
      </c>
      <c r="I257" s="29">
        <f>VLOOKUP(B257,ATL!C:K,7,0)</f>
        <v>0</v>
      </c>
      <c r="J257" t="b">
        <f t="shared" si="6"/>
        <v>1</v>
      </c>
      <c r="K257" t="b">
        <f t="shared" si="7"/>
        <v>1</v>
      </c>
    </row>
    <row r="258" spans="1:11" x14ac:dyDescent="0.3">
      <c r="A258" s="20" t="s">
        <v>334</v>
      </c>
      <c r="B258" s="19">
        <v>68115</v>
      </c>
      <c r="C258" s="26">
        <v>0</v>
      </c>
      <c r="D258" s="35">
        <v>0</v>
      </c>
      <c r="E258" s="38">
        <v>46120</v>
      </c>
      <c r="F258" s="42">
        <v>46121</v>
      </c>
      <c r="H258" s="29">
        <f>VLOOKUP(B258,ATL!C:K,8,0)</f>
        <v>0</v>
      </c>
      <c r="I258" s="29">
        <f>VLOOKUP(B258,ATL!C:K,7,0)</f>
        <v>0</v>
      </c>
      <c r="J258" t="b">
        <f t="shared" si="6"/>
        <v>1</v>
      </c>
      <c r="K258" t="b">
        <f t="shared" si="7"/>
        <v>1</v>
      </c>
    </row>
    <row r="259" spans="1:11" x14ac:dyDescent="0.3">
      <c r="A259" s="20" t="s">
        <v>334</v>
      </c>
      <c r="B259" s="19">
        <v>68135</v>
      </c>
      <c r="C259" s="26">
        <v>0</v>
      </c>
      <c r="D259" s="35">
        <v>0</v>
      </c>
      <c r="E259" s="38">
        <v>46120</v>
      </c>
      <c r="F259" s="42">
        <v>46121</v>
      </c>
      <c r="H259" s="29">
        <f>VLOOKUP(B259,ATL!C:K,8,0)</f>
        <v>0</v>
      </c>
      <c r="I259" s="29">
        <f>VLOOKUP(B259,ATL!C:K,7,0)</f>
        <v>0</v>
      </c>
      <c r="J259" t="b">
        <f t="shared" ref="J259:J280" si="8">C259=H259</f>
        <v>1</v>
      </c>
      <c r="K259" t="b">
        <f t="shared" ref="K259:K280" si="9">D259=I259</f>
        <v>1</v>
      </c>
    </row>
    <row r="260" spans="1:11" x14ac:dyDescent="0.3">
      <c r="A260" s="20" t="s">
        <v>334</v>
      </c>
      <c r="B260" s="19">
        <v>68172</v>
      </c>
      <c r="C260" s="26">
        <v>0</v>
      </c>
      <c r="D260" s="35">
        <v>0</v>
      </c>
      <c r="E260" s="38">
        <v>46120</v>
      </c>
      <c r="F260" s="42">
        <v>46121</v>
      </c>
      <c r="H260" s="29">
        <f>VLOOKUP(B260,ATL!C:K,8,0)</f>
        <v>0</v>
      </c>
      <c r="I260" s="29">
        <f>VLOOKUP(B260,ATL!C:K,7,0)</f>
        <v>0</v>
      </c>
      <c r="J260" t="b">
        <f t="shared" si="8"/>
        <v>1</v>
      </c>
      <c r="K260" t="b">
        <f t="shared" si="9"/>
        <v>1</v>
      </c>
    </row>
    <row r="261" spans="1:11" x14ac:dyDescent="0.3">
      <c r="A261" s="20" t="s">
        <v>334</v>
      </c>
      <c r="B261" s="19">
        <v>86119</v>
      </c>
      <c r="C261" s="26">
        <v>0</v>
      </c>
      <c r="D261" s="35">
        <v>0</v>
      </c>
      <c r="E261" s="38">
        <v>46120</v>
      </c>
      <c r="F261" s="42">
        <v>46121</v>
      </c>
      <c r="H261" s="29">
        <f>VLOOKUP(B261,ATL!C:K,8,0)</f>
        <v>0</v>
      </c>
      <c r="I261" s="29">
        <f>VLOOKUP(B261,ATL!C:K,7,0)</f>
        <v>0</v>
      </c>
      <c r="J261" t="b">
        <f t="shared" si="8"/>
        <v>1</v>
      </c>
      <c r="K261" t="b">
        <f t="shared" si="9"/>
        <v>1</v>
      </c>
    </row>
    <row r="262" spans="1:11" x14ac:dyDescent="0.3">
      <c r="A262" s="20" t="s">
        <v>334</v>
      </c>
      <c r="B262" s="19">
        <v>86122</v>
      </c>
      <c r="C262" s="26">
        <v>0</v>
      </c>
      <c r="D262" s="35">
        <v>0</v>
      </c>
      <c r="E262" s="38">
        <v>46120</v>
      </c>
      <c r="F262" s="42">
        <v>46121</v>
      </c>
      <c r="H262" s="29">
        <f>VLOOKUP(B262,ATL!C:K,8,0)</f>
        <v>0</v>
      </c>
      <c r="I262" s="29">
        <f>VLOOKUP(B262,ATL!C:K,7,0)</f>
        <v>0</v>
      </c>
      <c r="J262" t="b">
        <f t="shared" si="8"/>
        <v>1</v>
      </c>
      <c r="K262" t="b">
        <f t="shared" si="9"/>
        <v>1</v>
      </c>
    </row>
    <row r="263" spans="1:11" x14ac:dyDescent="0.3">
      <c r="A263" s="20" t="s">
        <v>334</v>
      </c>
      <c r="B263" s="19">
        <v>86999</v>
      </c>
      <c r="C263" s="26">
        <v>0</v>
      </c>
      <c r="D263" s="35">
        <v>0</v>
      </c>
      <c r="E263" s="38">
        <v>46120</v>
      </c>
      <c r="F263" s="42">
        <v>46121</v>
      </c>
      <c r="H263" s="29">
        <f>VLOOKUP(B263,ATL!C:K,8,0)</f>
        <v>0</v>
      </c>
      <c r="I263" s="29">
        <f>VLOOKUP(B263,ATL!C:K,7,0)</f>
        <v>0</v>
      </c>
      <c r="J263" t="b">
        <f t="shared" si="8"/>
        <v>1</v>
      </c>
      <c r="K263" t="b">
        <f t="shared" si="9"/>
        <v>1</v>
      </c>
    </row>
    <row r="264" spans="1:11" x14ac:dyDescent="0.3">
      <c r="A264" s="20" t="s">
        <v>334</v>
      </c>
      <c r="B264" s="19">
        <v>71988</v>
      </c>
      <c r="C264" s="25">
        <v>64.394999999999996</v>
      </c>
      <c r="D264" s="34">
        <v>64.394999999999996</v>
      </c>
      <c r="E264" s="38">
        <v>46120</v>
      </c>
      <c r="F264" s="42">
        <v>46121</v>
      </c>
      <c r="H264" s="29">
        <f>VLOOKUP(B264,ATL!C:K,8,0)</f>
        <v>64.394999999999996</v>
      </c>
      <c r="I264" s="29">
        <f>VLOOKUP(B264,ATL!C:K,7,0)</f>
        <v>64.394999999999996</v>
      </c>
      <c r="J264" t="b">
        <f t="shared" si="8"/>
        <v>1</v>
      </c>
      <c r="K264" t="b">
        <f t="shared" si="9"/>
        <v>1</v>
      </c>
    </row>
    <row r="265" spans="1:11" x14ac:dyDescent="0.3">
      <c r="A265" s="20" t="s">
        <v>334</v>
      </c>
      <c r="B265" s="19">
        <v>74376</v>
      </c>
      <c r="C265" s="25">
        <v>27.355200000000004</v>
      </c>
      <c r="D265" s="34">
        <v>1.08</v>
      </c>
      <c r="E265" s="38">
        <v>46120</v>
      </c>
      <c r="F265" s="42">
        <v>46121</v>
      </c>
      <c r="H265" s="29">
        <f>VLOOKUP(B265,ATL!C:K,8,0)</f>
        <v>27.355200000000004</v>
      </c>
      <c r="I265" s="29">
        <f>VLOOKUP(B265,ATL!C:K,7,0)</f>
        <v>1.08</v>
      </c>
      <c r="J265" t="b">
        <f t="shared" si="8"/>
        <v>1</v>
      </c>
      <c r="K265" t="b">
        <f t="shared" si="9"/>
        <v>1</v>
      </c>
    </row>
    <row r="266" spans="1:11" x14ac:dyDescent="0.3">
      <c r="A266" s="20" t="s">
        <v>334</v>
      </c>
      <c r="B266" s="19">
        <v>76142</v>
      </c>
      <c r="C266" s="25">
        <v>37.334399999999995</v>
      </c>
      <c r="D266" s="34">
        <v>1.08</v>
      </c>
      <c r="E266" s="38">
        <v>46120</v>
      </c>
      <c r="F266" s="42">
        <v>46121</v>
      </c>
      <c r="H266" s="29">
        <f>VLOOKUP(B266,ATL!C:K,8,0)</f>
        <v>37.334399999999995</v>
      </c>
      <c r="I266" s="29">
        <f>VLOOKUP(B266,ATL!C:K,7,0)</f>
        <v>1.08</v>
      </c>
      <c r="J266" t="b">
        <f t="shared" si="8"/>
        <v>1</v>
      </c>
      <c r="K266" t="b">
        <f t="shared" si="9"/>
        <v>1</v>
      </c>
    </row>
    <row r="267" spans="1:11" x14ac:dyDescent="0.3">
      <c r="A267" s="20" t="s">
        <v>334</v>
      </c>
      <c r="B267" s="19">
        <v>76144</v>
      </c>
      <c r="C267" s="25">
        <v>15.493784882033333</v>
      </c>
      <c r="D267" s="34">
        <v>1.08</v>
      </c>
      <c r="E267" s="38">
        <v>46120</v>
      </c>
      <c r="F267" s="42">
        <v>46121</v>
      </c>
      <c r="H267" s="29">
        <f>VLOOKUP(B267,ATL!C:K,8,0)</f>
        <v>15.493784882033333</v>
      </c>
      <c r="I267" s="29">
        <f>VLOOKUP(B267,ATL!C:K,7,0)</f>
        <v>1.08</v>
      </c>
      <c r="J267" t="b">
        <f t="shared" si="8"/>
        <v>1</v>
      </c>
      <c r="K267" t="b">
        <f t="shared" si="9"/>
        <v>1</v>
      </c>
    </row>
    <row r="268" spans="1:11" x14ac:dyDescent="0.3">
      <c r="A268" s="20" t="s">
        <v>334</v>
      </c>
      <c r="B268" s="19">
        <v>76145</v>
      </c>
      <c r="C268" s="25">
        <v>14.467784882033335</v>
      </c>
      <c r="D268" s="34">
        <v>1.08</v>
      </c>
      <c r="E268" s="38">
        <v>46120</v>
      </c>
      <c r="F268" s="42">
        <v>46121</v>
      </c>
      <c r="H268" s="29">
        <f>VLOOKUP(B268,ATL!C:K,8,0)</f>
        <v>14.467784882033335</v>
      </c>
      <c r="I268" s="29">
        <f>VLOOKUP(B268,ATL!C:K,7,0)</f>
        <v>1.08</v>
      </c>
      <c r="J268" t="b">
        <f t="shared" si="8"/>
        <v>1</v>
      </c>
      <c r="K268" t="b">
        <f t="shared" si="9"/>
        <v>1</v>
      </c>
    </row>
    <row r="269" spans="1:11" x14ac:dyDescent="0.3">
      <c r="A269" s="20" t="s">
        <v>334</v>
      </c>
      <c r="B269" s="19">
        <v>76146</v>
      </c>
      <c r="C269" s="25">
        <v>18.252584882033332</v>
      </c>
      <c r="D269" s="34">
        <v>1.08</v>
      </c>
      <c r="E269" s="38">
        <v>46120</v>
      </c>
      <c r="F269" s="42">
        <v>46121</v>
      </c>
      <c r="H269" s="29">
        <f>VLOOKUP(B269,ATL!C:K,8,0)</f>
        <v>18.252584882033332</v>
      </c>
      <c r="I269" s="29">
        <f>VLOOKUP(B269,ATL!C:K,7,0)</f>
        <v>1.08</v>
      </c>
      <c r="J269" t="b">
        <f t="shared" si="8"/>
        <v>1</v>
      </c>
      <c r="K269" t="b">
        <f t="shared" si="9"/>
        <v>1</v>
      </c>
    </row>
    <row r="270" spans="1:11" x14ac:dyDescent="0.3">
      <c r="A270" s="20" t="s">
        <v>334</v>
      </c>
      <c r="B270" s="19">
        <v>76147</v>
      </c>
      <c r="C270" s="25">
        <v>19.586384882033336</v>
      </c>
      <c r="D270" s="34">
        <v>1.08</v>
      </c>
      <c r="E270" s="38">
        <v>46120</v>
      </c>
      <c r="F270" s="42">
        <v>46121</v>
      </c>
      <c r="H270" s="29">
        <f>VLOOKUP(B270,ATL!C:K,8,0)</f>
        <v>19.586384882033336</v>
      </c>
      <c r="I270" s="29">
        <f>VLOOKUP(B270,ATL!C:K,7,0)</f>
        <v>1.08</v>
      </c>
      <c r="J270" t="b">
        <f t="shared" si="8"/>
        <v>1</v>
      </c>
      <c r="K270" t="b">
        <f t="shared" si="9"/>
        <v>1</v>
      </c>
    </row>
    <row r="271" spans="1:11" x14ac:dyDescent="0.3">
      <c r="A271" s="20" t="s">
        <v>334</v>
      </c>
      <c r="B271" s="19">
        <v>76148</v>
      </c>
      <c r="C271" s="25">
        <v>16.265458173444898</v>
      </c>
      <c r="D271" s="34">
        <v>1.08</v>
      </c>
      <c r="E271" s="38">
        <v>46120</v>
      </c>
      <c r="F271" s="42">
        <v>46121</v>
      </c>
      <c r="H271" s="29">
        <f>VLOOKUP(B271,ATL!C:K,8,0)</f>
        <v>16.265458173444898</v>
      </c>
      <c r="I271" s="29">
        <f>VLOOKUP(B271,ATL!C:K,7,0)</f>
        <v>1.08</v>
      </c>
      <c r="J271" t="b">
        <f t="shared" si="8"/>
        <v>1</v>
      </c>
      <c r="K271" t="b">
        <f t="shared" si="9"/>
        <v>1</v>
      </c>
    </row>
    <row r="272" spans="1:11" x14ac:dyDescent="0.3">
      <c r="A272" s="20" t="s">
        <v>334</v>
      </c>
      <c r="B272" s="19">
        <v>76149</v>
      </c>
      <c r="C272" s="25">
        <v>15.726846719403728</v>
      </c>
      <c r="D272" s="34">
        <v>1.08</v>
      </c>
      <c r="E272" s="38">
        <v>46120</v>
      </c>
      <c r="F272" s="42">
        <v>46121</v>
      </c>
      <c r="H272" s="29">
        <f>VLOOKUP(B272,ATL!C:K,8,0)</f>
        <v>15.726846719403728</v>
      </c>
      <c r="I272" s="29">
        <f>VLOOKUP(B272,ATL!C:K,7,0)</f>
        <v>1.08</v>
      </c>
      <c r="J272" t="b">
        <f t="shared" si="8"/>
        <v>1</v>
      </c>
      <c r="K272" t="b">
        <f t="shared" si="9"/>
        <v>1</v>
      </c>
    </row>
    <row r="273" spans="1:12" x14ac:dyDescent="0.3">
      <c r="A273" s="20" t="s">
        <v>334</v>
      </c>
      <c r="B273" s="19">
        <v>76150</v>
      </c>
      <c r="C273" s="25">
        <v>20.555535809083338</v>
      </c>
      <c r="D273" s="34">
        <v>1.08</v>
      </c>
      <c r="E273" s="38">
        <v>46120</v>
      </c>
      <c r="F273" s="42">
        <v>46121</v>
      </c>
      <c r="H273" s="29">
        <f>VLOOKUP(B273,ATL!C:K,8,0)</f>
        <v>20.555535809083338</v>
      </c>
      <c r="I273" s="29">
        <f>VLOOKUP(B273,ATL!C:K,7,0)</f>
        <v>1.08</v>
      </c>
      <c r="J273" t="b">
        <f t="shared" si="8"/>
        <v>1</v>
      </c>
      <c r="K273" t="b">
        <f t="shared" si="9"/>
        <v>1</v>
      </c>
    </row>
    <row r="274" spans="1:12" x14ac:dyDescent="0.3">
      <c r="A274" s="20" t="s">
        <v>334</v>
      </c>
      <c r="B274" s="19">
        <v>76151</v>
      </c>
      <c r="C274" s="25">
        <v>21.889335809083342</v>
      </c>
      <c r="D274" s="34">
        <v>1.08</v>
      </c>
      <c r="E274" s="38">
        <v>46120</v>
      </c>
      <c r="F274" s="42">
        <v>46121</v>
      </c>
      <c r="H274" s="29">
        <f>VLOOKUP(B274,ATL!C:K,8,0)</f>
        <v>21.889335809083342</v>
      </c>
      <c r="I274" s="29">
        <f>VLOOKUP(B274,ATL!C:K,7,0)</f>
        <v>1.08</v>
      </c>
      <c r="J274" t="b">
        <f t="shared" si="8"/>
        <v>1</v>
      </c>
      <c r="K274" t="b">
        <f t="shared" si="9"/>
        <v>1</v>
      </c>
    </row>
    <row r="275" spans="1:12" x14ac:dyDescent="0.3">
      <c r="A275" s="20" t="s">
        <v>334</v>
      </c>
      <c r="B275" s="19">
        <v>76260</v>
      </c>
      <c r="C275" s="25">
        <v>6.1348679276625502</v>
      </c>
      <c r="D275" s="34">
        <v>1.08</v>
      </c>
      <c r="E275" s="38">
        <v>46120</v>
      </c>
      <c r="F275" s="42">
        <v>46121</v>
      </c>
      <c r="H275" s="29">
        <f>VLOOKUP(B275,ATL!C:K,8,0)</f>
        <v>6.1348679276625502</v>
      </c>
      <c r="I275" s="29">
        <f>VLOOKUP(B275,ATL!C:K,7,0)</f>
        <v>1.08</v>
      </c>
      <c r="J275" t="b">
        <f t="shared" si="8"/>
        <v>1</v>
      </c>
      <c r="K275" t="b">
        <f t="shared" si="9"/>
        <v>1</v>
      </c>
    </row>
    <row r="276" spans="1:12" x14ac:dyDescent="0.3">
      <c r="A276" s="20" t="s">
        <v>334</v>
      </c>
      <c r="B276" s="19">
        <v>76266</v>
      </c>
      <c r="C276" s="25">
        <v>8.4638015540693985</v>
      </c>
      <c r="D276" s="34">
        <v>1.08</v>
      </c>
      <c r="E276" s="38">
        <v>46120</v>
      </c>
      <c r="F276" s="42">
        <v>46121</v>
      </c>
      <c r="H276" s="29">
        <f>VLOOKUP(B276,ATL!C:K,8,0)</f>
        <v>8.4638015540693985</v>
      </c>
      <c r="I276" s="29">
        <f>VLOOKUP(B276,ATL!C:K,7,0)</f>
        <v>1.08</v>
      </c>
      <c r="J276" t="b">
        <f t="shared" si="8"/>
        <v>1</v>
      </c>
      <c r="K276" t="b">
        <f t="shared" si="9"/>
        <v>1</v>
      </c>
    </row>
    <row r="277" spans="1:12" x14ac:dyDescent="0.3">
      <c r="A277" s="20" t="s">
        <v>334</v>
      </c>
      <c r="B277" s="19">
        <v>76267</v>
      </c>
      <c r="C277" s="25">
        <v>8.7947251655666534</v>
      </c>
      <c r="D277" s="34">
        <v>1.08</v>
      </c>
      <c r="E277" s="38">
        <v>46120</v>
      </c>
      <c r="F277" s="42">
        <v>46121</v>
      </c>
      <c r="H277" s="29">
        <f>VLOOKUP(B277,ATL!C:K,8,0)</f>
        <v>8.7947251655666534</v>
      </c>
      <c r="I277" s="29">
        <f>VLOOKUP(B277,ATL!C:K,7,0)</f>
        <v>1.08</v>
      </c>
      <c r="J277" t="b">
        <f t="shared" si="8"/>
        <v>1</v>
      </c>
      <c r="K277" t="b">
        <f t="shared" si="9"/>
        <v>1</v>
      </c>
    </row>
    <row r="278" spans="1:12" x14ac:dyDescent="0.3">
      <c r="A278" s="20" t="s">
        <v>334</v>
      </c>
      <c r="B278" s="19">
        <v>76268</v>
      </c>
      <c r="C278" s="25">
        <v>6.9457876647836843</v>
      </c>
      <c r="D278" s="34">
        <v>1.08</v>
      </c>
      <c r="E278" s="38">
        <v>46120</v>
      </c>
      <c r="F278" s="42">
        <v>46121</v>
      </c>
      <c r="H278" s="29">
        <f>VLOOKUP(B278,ATL!C:K,8,0)</f>
        <v>6.9457876647836843</v>
      </c>
      <c r="I278" s="29">
        <f>VLOOKUP(B278,ATL!C:K,7,0)</f>
        <v>1.08</v>
      </c>
      <c r="J278" t="b">
        <f t="shared" si="8"/>
        <v>1</v>
      </c>
      <c r="K278" t="b">
        <f t="shared" si="9"/>
        <v>1</v>
      </c>
    </row>
    <row r="279" spans="1:12" x14ac:dyDescent="0.3">
      <c r="A279" s="20" t="s">
        <v>334</v>
      </c>
      <c r="B279" s="19">
        <v>76269</v>
      </c>
      <c r="C279" s="25">
        <v>6.5908679276625497</v>
      </c>
      <c r="D279" s="34">
        <v>1.08</v>
      </c>
      <c r="E279" s="38">
        <v>46120</v>
      </c>
      <c r="F279" s="42">
        <v>46121</v>
      </c>
      <c r="H279" s="29">
        <f>VLOOKUP(B279,ATL!C:K,8,0)</f>
        <v>6.5908679276625497</v>
      </c>
      <c r="I279" s="29">
        <f>VLOOKUP(B279,ATL!C:K,7,0)</f>
        <v>1.08</v>
      </c>
      <c r="J279" t="b">
        <f t="shared" si="8"/>
        <v>1</v>
      </c>
      <c r="K279" t="b">
        <f t="shared" si="9"/>
        <v>1</v>
      </c>
    </row>
    <row r="280" spans="1:12" x14ac:dyDescent="0.3">
      <c r="A280" s="20" t="s">
        <v>334</v>
      </c>
      <c r="B280" s="19">
        <v>78473</v>
      </c>
      <c r="C280" s="25">
        <v>34.926399999999994</v>
      </c>
      <c r="D280" s="34">
        <v>1.08</v>
      </c>
      <c r="E280" s="38">
        <v>46120</v>
      </c>
      <c r="F280" s="42">
        <v>46121</v>
      </c>
      <c r="H280" s="29">
        <f>VLOOKUP(B280,ATL!C:K,8,0)</f>
        <v>34.926399999999994</v>
      </c>
      <c r="I280" s="29">
        <f>VLOOKUP(B280,ATL!C:K,7,0)</f>
        <v>1.08</v>
      </c>
      <c r="J280" t="b">
        <f t="shared" si="8"/>
        <v>1</v>
      </c>
      <c r="K280" t="b">
        <f t="shared" si="9"/>
        <v>1</v>
      </c>
    </row>
    <row r="281" spans="1:12" x14ac:dyDescent="0.3">
      <c r="A281" s="21"/>
      <c r="B281" s="21"/>
      <c r="C281" s="27"/>
      <c r="D281" s="27"/>
      <c r="E281" s="27"/>
      <c r="F281" s="43"/>
      <c r="G281" s="21"/>
      <c r="H281" s="30"/>
      <c r="I281" s="30"/>
      <c r="J281" s="21"/>
      <c r="K281" s="21"/>
    </row>
    <row r="282" spans="1:12" x14ac:dyDescent="0.3">
      <c r="A282" s="22" t="s">
        <v>335</v>
      </c>
      <c r="B282" s="32">
        <v>66575</v>
      </c>
      <c r="C282" s="33">
        <v>0.7752</v>
      </c>
      <c r="D282" s="36">
        <v>0</v>
      </c>
      <c r="E282" s="38">
        <v>46120</v>
      </c>
      <c r="F282" s="42">
        <v>46121</v>
      </c>
      <c r="H282" s="29">
        <f>VLOOKUP(B282,ATL!C:K,8,0)</f>
        <v>0.89040000000000008</v>
      </c>
      <c r="I282" s="29">
        <f>VLOOKUP(B282,ATL!C:K,7,0)</f>
        <v>0.13799999999999996</v>
      </c>
      <c r="J282" t="b">
        <f t="shared" ref="J282:K285" si="10">C282=H282</f>
        <v>0</v>
      </c>
      <c r="K282" t="b">
        <f t="shared" si="10"/>
        <v>0</v>
      </c>
      <c r="L282" s="31" t="s">
        <v>338</v>
      </c>
    </row>
    <row r="283" spans="1:12" x14ac:dyDescent="0.3">
      <c r="A283" s="22" t="s">
        <v>335</v>
      </c>
      <c r="B283" s="19">
        <v>955</v>
      </c>
      <c r="C283" s="25">
        <v>2.4474000000000005</v>
      </c>
      <c r="D283" s="40">
        <v>0.27</v>
      </c>
      <c r="E283" s="38">
        <v>46120</v>
      </c>
      <c r="F283" s="42">
        <v>46121</v>
      </c>
      <c r="H283" s="29">
        <f>VLOOKUP(B283,ATL!C:K,8,0)</f>
        <v>2.4474000000000005</v>
      </c>
      <c r="I283" s="29">
        <f>VLOOKUP(B283,ATL!C:K,7,0)</f>
        <v>0.27</v>
      </c>
      <c r="J283" t="b">
        <f t="shared" si="10"/>
        <v>1</v>
      </c>
      <c r="K283" t="b">
        <f t="shared" si="10"/>
        <v>1</v>
      </c>
      <c r="L283" s="31"/>
    </row>
    <row r="284" spans="1:12" x14ac:dyDescent="0.3">
      <c r="A284" s="22" t="s">
        <v>335</v>
      </c>
      <c r="B284" s="19">
        <v>77752</v>
      </c>
      <c r="C284" s="25">
        <v>78.704999999999998</v>
      </c>
      <c r="D284" s="40">
        <v>78.704999999999998</v>
      </c>
      <c r="E284" s="38">
        <v>46120</v>
      </c>
      <c r="F284" s="42">
        <v>46121</v>
      </c>
      <c r="H284" s="29">
        <f>VLOOKUP(B284,ATL!C:K,8,0)</f>
        <v>78.704999999999998</v>
      </c>
      <c r="I284" s="29">
        <f>VLOOKUP(B284,ATL!C:K,7,0)</f>
        <v>78.704999999999998</v>
      </c>
      <c r="J284" t="b">
        <f t="shared" si="10"/>
        <v>1</v>
      </c>
      <c r="K284" t="b">
        <f t="shared" si="10"/>
        <v>1</v>
      </c>
    </row>
    <row r="285" spans="1:12" x14ac:dyDescent="0.3">
      <c r="A285" s="22" t="s">
        <v>335</v>
      </c>
      <c r="B285" s="19">
        <v>77754</v>
      </c>
      <c r="C285" s="25">
        <v>78.704999999999998</v>
      </c>
      <c r="D285" s="34">
        <v>78.704999999999998</v>
      </c>
      <c r="E285" s="38">
        <v>46120</v>
      </c>
      <c r="F285" s="42">
        <v>46121</v>
      </c>
      <c r="H285" s="29">
        <f>VLOOKUP(B285,ATL!C:K,8,0)</f>
        <v>78.704999999999998</v>
      </c>
      <c r="I285" s="29">
        <f>VLOOKUP(B285,ATL!C:K,7,0)</f>
        <v>78.704999999999998</v>
      </c>
      <c r="J285" t="b">
        <f t="shared" si="10"/>
        <v>1</v>
      </c>
      <c r="K285" t="b">
        <f t="shared" si="10"/>
        <v>1</v>
      </c>
    </row>
  </sheetData>
  <autoFilter ref="A1:F285" xr:uid="{D2F751C0-711E-44D3-A5F5-5F8D9389A73A}"/>
  <conditionalFormatting sqref="J2:K280 J282:K285">
    <cfRule type="containsText" dxfId="0" priority="1" operator="containsText" text="FALSE">
      <formula>NOT(ISERROR(SEARCH("FALSE",J2)))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6D6F-66E0-490A-99F3-122C0D698E64}">
  <dimension ref="A1:K286"/>
  <sheetViews>
    <sheetView showGridLines="0" workbookViewId="0">
      <pane ySplit="2" topLeftCell="A122" activePane="bottomLeft" state="frozen"/>
      <selection pane="bottomLeft" activeCell="D157" sqref="D157"/>
    </sheetView>
  </sheetViews>
  <sheetFormatPr defaultColWidth="8.6640625" defaultRowHeight="13.8" x14ac:dyDescent="0.25"/>
  <cols>
    <col min="1" max="1" width="11.109375" style="2" customWidth="1"/>
    <col min="2" max="2" width="23.5546875" style="2" bestFit="1" customWidth="1"/>
    <col min="3" max="3" width="8.6640625" style="2"/>
    <col min="4" max="4" width="114.5546875" style="2" customWidth="1"/>
    <col min="5" max="5" width="14.5546875" style="2" customWidth="1"/>
    <col min="6" max="6" width="43.6640625" style="2" customWidth="1"/>
    <col min="7" max="9" width="13.5546875" style="2" customWidth="1"/>
    <col min="10" max="11" width="17.5546875" style="2" customWidth="1"/>
    <col min="12" max="16384" width="8.6640625" style="2"/>
  </cols>
  <sheetData>
    <row r="1" spans="1:11" x14ac:dyDescent="0.25">
      <c r="A1" s="1" t="s">
        <v>0</v>
      </c>
    </row>
    <row r="2" spans="1:11" s="7" customFormat="1" ht="41.4" x14ac:dyDescent="0.25">
      <c r="A2" s="3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  <c r="K2" s="6" t="s">
        <v>11</v>
      </c>
    </row>
    <row r="3" spans="1:11" x14ac:dyDescent="0.25">
      <c r="A3" s="2" t="s">
        <v>12</v>
      </c>
      <c r="B3" s="2" t="s">
        <v>13</v>
      </c>
      <c r="C3" s="2">
        <v>82608</v>
      </c>
      <c r="D3" s="2" t="s">
        <v>14</v>
      </c>
      <c r="E3" s="2">
        <v>1467</v>
      </c>
      <c r="G3" s="8">
        <v>3.09</v>
      </c>
      <c r="H3" s="8">
        <v>0.37079999999999996</v>
      </c>
      <c r="I3" s="8">
        <v>0</v>
      </c>
      <c r="J3" s="9">
        <f t="shared" ref="J3:J66" si="0">G3+H3+I3</f>
        <v>3.4607999999999999</v>
      </c>
      <c r="K3" s="10">
        <f t="shared" ref="K3:K66" si="1">J3*E3</f>
        <v>5076.9935999999998</v>
      </c>
    </row>
    <row r="4" spans="1:11" x14ac:dyDescent="0.25">
      <c r="A4" s="2" t="s">
        <v>12</v>
      </c>
      <c r="B4" s="2" t="s">
        <v>13</v>
      </c>
      <c r="C4" s="2">
        <v>82610</v>
      </c>
      <c r="D4" s="2" t="s">
        <v>15</v>
      </c>
      <c r="E4" s="2">
        <v>1713</v>
      </c>
      <c r="G4" s="8">
        <v>2.84</v>
      </c>
      <c r="H4" s="8">
        <v>0.34079999999999999</v>
      </c>
      <c r="I4" s="8">
        <v>0</v>
      </c>
      <c r="J4" s="9">
        <f t="shared" si="0"/>
        <v>3.1807999999999996</v>
      </c>
      <c r="K4" s="10">
        <f t="shared" si="1"/>
        <v>5448.710399999999</v>
      </c>
    </row>
    <row r="5" spans="1:11" x14ac:dyDescent="0.25">
      <c r="A5" s="2" t="s">
        <v>12</v>
      </c>
      <c r="B5" s="2" t="s">
        <v>13</v>
      </c>
      <c r="C5" s="2">
        <v>87833</v>
      </c>
      <c r="D5" s="2" t="s">
        <v>16</v>
      </c>
      <c r="E5" s="2">
        <v>1687</v>
      </c>
      <c r="G5" s="8">
        <v>2.5799999999999996</v>
      </c>
      <c r="H5" s="8">
        <v>0.30959999999999993</v>
      </c>
      <c r="I5" s="8">
        <v>0</v>
      </c>
      <c r="J5" s="9">
        <f t="shared" si="0"/>
        <v>2.8895999999999997</v>
      </c>
      <c r="K5" s="10">
        <f t="shared" si="1"/>
        <v>4874.7551999999996</v>
      </c>
    </row>
    <row r="6" spans="1:11" x14ac:dyDescent="0.25">
      <c r="A6" s="2" t="s">
        <v>12</v>
      </c>
      <c r="B6" s="2" t="s">
        <v>13</v>
      </c>
      <c r="C6" s="2">
        <v>87990</v>
      </c>
      <c r="D6" s="2" t="s">
        <v>17</v>
      </c>
      <c r="E6" s="2">
        <v>553</v>
      </c>
      <c r="G6" s="8">
        <v>2.955059619126676</v>
      </c>
      <c r="H6" s="8">
        <v>0.31558889136304308</v>
      </c>
      <c r="I6" s="8">
        <v>1.1499999999999997</v>
      </c>
      <c r="J6" s="9">
        <f t="shared" si="0"/>
        <v>4.4206485104897189</v>
      </c>
      <c r="K6" s="10">
        <f t="shared" si="1"/>
        <v>2444.6186263008144</v>
      </c>
    </row>
    <row r="7" spans="1:11" x14ac:dyDescent="0.25">
      <c r="A7" s="2" t="s">
        <v>12</v>
      </c>
      <c r="B7" s="2" t="s">
        <v>13</v>
      </c>
      <c r="C7" s="2">
        <v>87991</v>
      </c>
      <c r="D7" s="2" t="s">
        <v>18</v>
      </c>
      <c r="E7" s="2">
        <v>609</v>
      </c>
      <c r="G7" s="8">
        <v>1.195054213869241</v>
      </c>
      <c r="H7" s="8">
        <v>0.12762714905399664</v>
      </c>
      <c r="I7" s="8">
        <v>0.69</v>
      </c>
      <c r="J7" s="9">
        <f t="shared" si="0"/>
        <v>2.0126813629232378</v>
      </c>
      <c r="K7" s="10">
        <f t="shared" si="1"/>
        <v>1225.7229500202518</v>
      </c>
    </row>
    <row r="8" spans="1:11" x14ac:dyDescent="0.25">
      <c r="A8" s="2" t="s">
        <v>12</v>
      </c>
      <c r="B8" s="2" t="s">
        <v>13</v>
      </c>
      <c r="C8" s="2">
        <v>87992</v>
      </c>
      <c r="D8" s="2" t="s">
        <v>19</v>
      </c>
      <c r="E8" s="2">
        <v>498</v>
      </c>
      <c r="G8" s="8">
        <v>1.195054213869241</v>
      </c>
      <c r="H8" s="8">
        <v>0.12762714905399664</v>
      </c>
      <c r="I8" s="8">
        <v>0.69</v>
      </c>
      <c r="J8" s="9">
        <f t="shared" si="0"/>
        <v>2.0126813629232378</v>
      </c>
      <c r="K8" s="10">
        <f t="shared" si="1"/>
        <v>1002.3153187357724</v>
      </c>
    </row>
    <row r="9" spans="1:11" x14ac:dyDescent="0.25">
      <c r="A9" s="2" t="s">
        <v>12</v>
      </c>
      <c r="B9" s="2" t="s">
        <v>13</v>
      </c>
      <c r="C9" s="2">
        <v>88303</v>
      </c>
      <c r="D9" s="2" t="s">
        <v>20</v>
      </c>
      <c r="E9" s="2">
        <v>0</v>
      </c>
      <c r="G9" s="8">
        <v>2.8272425702363453</v>
      </c>
      <c r="H9" s="8">
        <v>0.30193852691844469</v>
      </c>
      <c r="I9" s="8">
        <v>1.1499999999999997</v>
      </c>
      <c r="J9" s="9">
        <f t="shared" si="0"/>
        <v>4.2791810971547894</v>
      </c>
      <c r="K9" s="10">
        <f t="shared" si="1"/>
        <v>0</v>
      </c>
    </row>
    <row r="10" spans="1:11" x14ac:dyDescent="0.25">
      <c r="A10" s="2" t="s">
        <v>12</v>
      </c>
      <c r="B10" s="2" t="s">
        <v>13</v>
      </c>
      <c r="C10" s="2">
        <v>89766</v>
      </c>
      <c r="D10" s="2" t="s">
        <v>21</v>
      </c>
      <c r="E10" s="2">
        <v>1518</v>
      </c>
      <c r="G10" s="8">
        <v>3.4409664330555718</v>
      </c>
      <c r="H10" s="8">
        <v>0.36748185207389605</v>
      </c>
      <c r="I10" s="8">
        <v>0.80499999999999994</v>
      </c>
      <c r="J10" s="9">
        <f t="shared" si="0"/>
        <v>4.6134482851294676</v>
      </c>
      <c r="K10" s="10">
        <f t="shared" si="1"/>
        <v>7003.214496826532</v>
      </c>
    </row>
    <row r="11" spans="1:11" x14ac:dyDescent="0.25">
      <c r="A11" s="2" t="s">
        <v>12</v>
      </c>
      <c r="B11" s="2" t="s">
        <v>13</v>
      </c>
      <c r="C11" s="2">
        <v>89773</v>
      </c>
      <c r="D11" s="2" t="s">
        <v>22</v>
      </c>
      <c r="E11" s="2">
        <v>0</v>
      </c>
      <c r="G11" s="8">
        <v>2.4704242067676159</v>
      </c>
      <c r="H11" s="8">
        <v>0.26383171140236678</v>
      </c>
      <c r="I11" s="8">
        <v>1.38</v>
      </c>
      <c r="J11" s="9">
        <f t="shared" si="0"/>
        <v>4.1142559181699827</v>
      </c>
      <c r="K11" s="10">
        <f t="shared" si="1"/>
        <v>0</v>
      </c>
    </row>
    <row r="12" spans="1:11" x14ac:dyDescent="0.25">
      <c r="A12" s="2" t="s">
        <v>12</v>
      </c>
      <c r="B12" s="2" t="s">
        <v>13</v>
      </c>
      <c r="C12" s="2">
        <v>89779</v>
      </c>
      <c r="D12" s="2" t="s">
        <v>23</v>
      </c>
      <c r="E12" s="2">
        <v>0</v>
      </c>
      <c r="G12" s="8">
        <v>3.2900002017037671</v>
      </c>
      <c r="H12" s="8">
        <v>0.35135924484214992</v>
      </c>
      <c r="I12" s="8">
        <v>1.0349999999999999</v>
      </c>
      <c r="J12" s="9">
        <f t="shared" si="0"/>
        <v>4.6763594465459173</v>
      </c>
      <c r="K12" s="10">
        <f t="shared" si="1"/>
        <v>0</v>
      </c>
    </row>
    <row r="13" spans="1:11" x14ac:dyDescent="0.25">
      <c r="A13" s="2" t="s">
        <v>12</v>
      </c>
      <c r="B13" s="2" t="s">
        <v>13</v>
      </c>
      <c r="C13" s="2">
        <v>90009</v>
      </c>
      <c r="D13" s="2" t="s">
        <v>24</v>
      </c>
      <c r="E13" s="2">
        <v>0</v>
      </c>
      <c r="G13" s="8">
        <v>1.7312711847689835</v>
      </c>
      <c r="H13" s="8">
        <v>0.18489303915008562</v>
      </c>
      <c r="I13" s="8">
        <v>1.38</v>
      </c>
      <c r="J13" s="9">
        <f t="shared" si="0"/>
        <v>3.2961642239190692</v>
      </c>
      <c r="K13" s="10">
        <f t="shared" si="1"/>
        <v>0</v>
      </c>
    </row>
    <row r="14" spans="1:11" x14ac:dyDescent="0.25">
      <c r="A14" s="2" t="s">
        <v>12</v>
      </c>
      <c r="B14" s="2" t="s">
        <v>13</v>
      </c>
      <c r="C14" s="2">
        <v>90593</v>
      </c>
      <c r="D14" s="2" t="s">
        <v>25</v>
      </c>
      <c r="E14" s="2">
        <v>2198</v>
      </c>
      <c r="G14" s="8">
        <v>5.1833200000000001</v>
      </c>
      <c r="H14" s="8">
        <v>0.62199839999999995</v>
      </c>
      <c r="I14" s="8">
        <v>0</v>
      </c>
      <c r="J14" s="9">
        <f t="shared" si="0"/>
        <v>5.8053184</v>
      </c>
      <c r="K14" s="10">
        <f t="shared" si="1"/>
        <v>12760.089843199999</v>
      </c>
    </row>
    <row r="15" spans="1:11" x14ac:dyDescent="0.25">
      <c r="A15" s="2" t="s">
        <v>12</v>
      </c>
      <c r="B15" s="2" t="s">
        <v>13</v>
      </c>
      <c r="C15" s="2">
        <v>90595</v>
      </c>
      <c r="D15" s="2" t="s">
        <v>26</v>
      </c>
      <c r="E15" s="2">
        <v>2182</v>
      </c>
      <c r="G15" s="8">
        <v>5.3833000000000002</v>
      </c>
      <c r="H15" s="8">
        <v>0.64599600000000001</v>
      </c>
      <c r="I15" s="8">
        <v>0</v>
      </c>
      <c r="J15" s="9">
        <f t="shared" si="0"/>
        <v>6.0292960000000004</v>
      </c>
      <c r="K15" s="10">
        <f t="shared" si="1"/>
        <v>13155.923872000001</v>
      </c>
    </row>
    <row r="16" spans="1:11" x14ac:dyDescent="0.25">
      <c r="A16" s="2" t="s">
        <v>12</v>
      </c>
      <c r="B16" s="2" t="s">
        <v>13</v>
      </c>
      <c r="C16" s="2">
        <v>90596</v>
      </c>
      <c r="D16" s="2" t="s">
        <v>27</v>
      </c>
      <c r="E16" s="2">
        <v>1984</v>
      </c>
      <c r="G16" s="8">
        <v>5.3529999999999998</v>
      </c>
      <c r="H16" s="8">
        <v>0.64235999999999993</v>
      </c>
      <c r="I16" s="8">
        <v>0</v>
      </c>
      <c r="J16" s="9">
        <f t="shared" si="0"/>
        <v>5.9953599999999998</v>
      </c>
      <c r="K16" s="10">
        <f t="shared" si="1"/>
        <v>11894.794239999999</v>
      </c>
    </row>
    <row r="17" spans="1:11" x14ac:dyDescent="0.25">
      <c r="A17" s="2" t="s">
        <v>12</v>
      </c>
      <c r="B17" s="2" t="s">
        <v>13</v>
      </c>
      <c r="C17" s="2">
        <v>90605</v>
      </c>
      <c r="D17" s="2" t="s">
        <v>28</v>
      </c>
      <c r="E17" s="2">
        <v>1413</v>
      </c>
      <c r="G17" s="8">
        <v>3.8683000000000001</v>
      </c>
      <c r="H17" s="8">
        <v>0.464196</v>
      </c>
      <c r="I17" s="8">
        <v>0</v>
      </c>
      <c r="J17" s="9">
        <f t="shared" si="0"/>
        <v>4.3324959999999999</v>
      </c>
      <c r="K17" s="10">
        <f t="shared" si="1"/>
        <v>6121.8168479999995</v>
      </c>
    </row>
    <row r="18" spans="1:11" x14ac:dyDescent="0.25">
      <c r="A18" s="2" t="s">
        <v>12</v>
      </c>
      <c r="B18" s="2" t="s">
        <v>13</v>
      </c>
      <c r="C18" s="2">
        <v>90606</v>
      </c>
      <c r="D18" s="2" t="s">
        <v>29</v>
      </c>
      <c r="E18" s="2">
        <v>1378</v>
      </c>
      <c r="G18" s="8">
        <v>3.7370000000000001</v>
      </c>
      <c r="H18" s="8">
        <v>0.44844000000000001</v>
      </c>
      <c r="I18" s="8">
        <v>0</v>
      </c>
      <c r="J18" s="9">
        <f t="shared" si="0"/>
        <v>4.1854399999999998</v>
      </c>
      <c r="K18" s="10">
        <f t="shared" si="1"/>
        <v>5767.5363200000002</v>
      </c>
    </row>
    <row r="19" spans="1:11" x14ac:dyDescent="0.25">
      <c r="A19" s="2" t="s">
        <v>12</v>
      </c>
      <c r="B19" s="2" t="s">
        <v>13</v>
      </c>
      <c r="C19" s="2">
        <v>90607</v>
      </c>
      <c r="D19" s="2" t="s">
        <v>30</v>
      </c>
      <c r="E19" s="2">
        <v>1404</v>
      </c>
      <c r="G19" s="8">
        <v>3.6955899999999997</v>
      </c>
      <c r="H19" s="8">
        <v>0.44347079999999994</v>
      </c>
      <c r="I19" s="8">
        <v>0</v>
      </c>
      <c r="J19" s="9">
        <f t="shared" si="0"/>
        <v>4.1390607999999993</v>
      </c>
      <c r="K19" s="10">
        <f t="shared" si="1"/>
        <v>5811.2413631999989</v>
      </c>
    </row>
    <row r="20" spans="1:11" x14ac:dyDescent="0.25">
      <c r="A20" s="2" t="s">
        <v>12</v>
      </c>
      <c r="B20" s="2" t="s">
        <v>13</v>
      </c>
      <c r="C20" s="2">
        <v>90608</v>
      </c>
      <c r="D20" s="2" t="s">
        <v>31</v>
      </c>
      <c r="E20" s="2">
        <v>1280</v>
      </c>
      <c r="G20" s="8">
        <v>3.92</v>
      </c>
      <c r="H20" s="8">
        <v>0.47039999999999998</v>
      </c>
      <c r="I20" s="8">
        <v>0</v>
      </c>
      <c r="J20" s="9">
        <f t="shared" si="0"/>
        <v>4.3903999999999996</v>
      </c>
      <c r="K20" s="10">
        <f t="shared" si="1"/>
        <v>5619.7119999999995</v>
      </c>
    </row>
    <row r="21" spans="1:11" x14ac:dyDescent="0.25">
      <c r="A21" s="2" t="s">
        <v>12</v>
      </c>
      <c r="B21" s="2" t="s">
        <v>13</v>
      </c>
      <c r="C21" s="2">
        <v>90640</v>
      </c>
      <c r="D21" s="2" t="s">
        <v>32</v>
      </c>
      <c r="E21" s="2">
        <v>0</v>
      </c>
      <c r="G21" s="8">
        <v>6.2787249999999997</v>
      </c>
      <c r="H21" s="8">
        <v>0.75344699999999998</v>
      </c>
      <c r="I21" s="8">
        <v>0</v>
      </c>
      <c r="J21" s="9">
        <f t="shared" si="0"/>
        <v>7.0321719999999992</v>
      </c>
      <c r="K21" s="10">
        <f t="shared" si="1"/>
        <v>0</v>
      </c>
    </row>
    <row r="22" spans="1:11" x14ac:dyDescent="0.25">
      <c r="A22" s="2" t="s">
        <v>12</v>
      </c>
      <c r="B22" s="2" t="s">
        <v>13</v>
      </c>
      <c r="C22" s="2">
        <v>90654</v>
      </c>
      <c r="D22" s="2" t="s">
        <v>33</v>
      </c>
      <c r="E22" s="2">
        <v>2142</v>
      </c>
      <c r="G22" s="8">
        <v>3.8986000000000001</v>
      </c>
      <c r="H22" s="8">
        <v>0.46783199999999997</v>
      </c>
      <c r="I22" s="8">
        <v>0</v>
      </c>
      <c r="J22" s="9">
        <f t="shared" si="0"/>
        <v>4.3664319999999996</v>
      </c>
      <c r="K22" s="10">
        <f t="shared" si="1"/>
        <v>9352.8973439999991</v>
      </c>
    </row>
    <row r="23" spans="1:11" x14ac:dyDescent="0.25">
      <c r="A23" s="2" t="s">
        <v>12</v>
      </c>
      <c r="B23" s="2" t="s">
        <v>13</v>
      </c>
      <c r="C23" s="2">
        <v>90678</v>
      </c>
      <c r="D23" s="2" t="s">
        <v>34</v>
      </c>
      <c r="E23" s="2">
        <v>773</v>
      </c>
      <c r="G23" s="8">
        <v>1.7064761516448574</v>
      </c>
      <c r="H23" s="8">
        <v>0.18224502590381975</v>
      </c>
      <c r="I23" s="8">
        <v>1.1499999999999997</v>
      </c>
      <c r="J23" s="9">
        <f t="shared" si="0"/>
        <v>3.0387211775486769</v>
      </c>
      <c r="K23" s="10">
        <f t="shared" si="1"/>
        <v>2348.931470245127</v>
      </c>
    </row>
    <row r="24" spans="1:11" x14ac:dyDescent="0.25">
      <c r="A24" s="2" t="s">
        <v>12</v>
      </c>
      <c r="B24" s="2" t="s">
        <v>13</v>
      </c>
      <c r="C24" s="2">
        <v>91678</v>
      </c>
      <c r="D24" s="2" t="s">
        <v>35</v>
      </c>
      <c r="E24" s="2">
        <v>0</v>
      </c>
      <c r="G24" s="8">
        <v>6.1739551210043606</v>
      </c>
      <c r="H24" s="8">
        <v>0.65935443039852404</v>
      </c>
      <c r="I24" s="8">
        <v>1.4949999999999997</v>
      </c>
      <c r="J24" s="9">
        <f t="shared" si="0"/>
        <v>8.3283095514028851</v>
      </c>
      <c r="K24" s="10">
        <f t="shared" si="1"/>
        <v>0</v>
      </c>
    </row>
    <row r="25" spans="1:11" x14ac:dyDescent="0.25">
      <c r="A25" s="2" t="s">
        <v>12</v>
      </c>
      <c r="B25" s="2" t="s">
        <v>13</v>
      </c>
      <c r="C25" s="2">
        <v>91884</v>
      </c>
      <c r="D25" s="2" t="s">
        <v>36</v>
      </c>
      <c r="E25" s="2">
        <v>40</v>
      </c>
      <c r="G25" s="8">
        <v>3.3835000000000002</v>
      </c>
      <c r="H25" s="8">
        <v>0.40601999999999999</v>
      </c>
      <c r="I25" s="8">
        <v>0</v>
      </c>
      <c r="J25" s="9">
        <f t="shared" si="0"/>
        <v>3.78952</v>
      </c>
      <c r="K25" s="10">
        <f t="shared" si="1"/>
        <v>151.58080000000001</v>
      </c>
    </row>
    <row r="26" spans="1:11" x14ac:dyDescent="0.25">
      <c r="A26" s="2" t="s">
        <v>12</v>
      </c>
      <c r="B26" s="2" t="s">
        <v>13</v>
      </c>
      <c r="C26" s="2">
        <v>91891</v>
      </c>
      <c r="D26" s="2" t="s">
        <v>37</v>
      </c>
      <c r="E26" s="2">
        <v>560</v>
      </c>
      <c r="G26" s="8">
        <v>3.3329999999999997</v>
      </c>
      <c r="H26" s="8">
        <v>0.39995999999999993</v>
      </c>
      <c r="I26" s="8">
        <v>0</v>
      </c>
      <c r="J26" s="9">
        <f t="shared" si="0"/>
        <v>3.7329599999999998</v>
      </c>
      <c r="K26" s="10">
        <f t="shared" si="1"/>
        <v>2090.4575999999997</v>
      </c>
    </row>
    <row r="27" spans="1:11" x14ac:dyDescent="0.25">
      <c r="A27" s="2" t="s">
        <v>12</v>
      </c>
      <c r="B27" s="2" t="s">
        <v>13</v>
      </c>
      <c r="C27" s="2">
        <v>50808</v>
      </c>
      <c r="D27" s="2" t="s">
        <v>38</v>
      </c>
      <c r="E27" s="2">
        <v>9526</v>
      </c>
      <c r="F27" s="2" t="s">
        <v>39</v>
      </c>
      <c r="G27" s="8">
        <v>2.5815589320382473</v>
      </c>
      <c r="H27" s="8">
        <v>0.2757004684701041</v>
      </c>
      <c r="I27" s="11"/>
      <c r="J27" s="9">
        <f t="shared" si="0"/>
        <v>2.8572594005083514</v>
      </c>
      <c r="K27" s="10">
        <f t="shared" si="1"/>
        <v>27218.253049242554</v>
      </c>
    </row>
    <row r="28" spans="1:11" x14ac:dyDescent="0.25">
      <c r="A28" s="2" t="s">
        <v>12</v>
      </c>
      <c r="B28" s="2" t="s">
        <v>13</v>
      </c>
      <c r="C28" s="2">
        <v>89910</v>
      </c>
      <c r="D28" s="2" t="s">
        <v>40</v>
      </c>
      <c r="E28" s="2">
        <v>615</v>
      </c>
      <c r="F28" s="2" t="s">
        <v>41</v>
      </c>
      <c r="G28" s="11">
        <v>0</v>
      </c>
      <c r="H28" s="11"/>
      <c r="I28" s="11"/>
      <c r="J28" s="12"/>
      <c r="K28" s="12"/>
    </row>
    <row r="29" spans="1:11" x14ac:dyDescent="0.25">
      <c r="A29" s="2" t="s">
        <v>12</v>
      </c>
      <c r="B29" s="2" t="s">
        <v>13</v>
      </c>
      <c r="C29" s="2">
        <v>87987</v>
      </c>
      <c r="D29" s="2" t="s">
        <v>42</v>
      </c>
      <c r="E29" s="2">
        <v>6339</v>
      </c>
      <c r="F29" s="2" t="s">
        <v>43</v>
      </c>
      <c r="G29" s="8">
        <v>2.06E-2</v>
      </c>
      <c r="H29" s="8">
        <v>2.2000000000000001E-3</v>
      </c>
      <c r="I29" s="11"/>
      <c r="J29" s="9">
        <f t="shared" si="0"/>
        <v>2.2800000000000001E-2</v>
      </c>
      <c r="K29" s="10">
        <f t="shared" si="1"/>
        <v>144.5292</v>
      </c>
    </row>
    <row r="30" spans="1:11" x14ac:dyDescent="0.25">
      <c r="A30" s="2" t="s">
        <v>12</v>
      </c>
      <c r="B30" s="2" t="s">
        <v>13</v>
      </c>
      <c r="C30" s="2">
        <v>87988</v>
      </c>
      <c r="D30" s="2" t="s">
        <v>44</v>
      </c>
      <c r="E30" s="2">
        <v>543</v>
      </c>
      <c r="F30" s="2" t="s">
        <v>43</v>
      </c>
      <c r="G30" s="8">
        <v>2.06E-2</v>
      </c>
      <c r="H30" s="8">
        <v>2.2000000000000001E-3</v>
      </c>
      <c r="I30" s="11"/>
      <c r="J30" s="9">
        <f t="shared" si="0"/>
        <v>2.2800000000000001E-2</v>
      </c>
      <c r="K30" s="10">
        <f t="shared" si="1"/>
        <v>12.3804</v>
      </c>
    </row>
    <row r="31" spans="1:11" x14ac:dyDescent="0.25">
      <c r="A31" s="2" t="s">
        <v>12</v>
      </c>
      <c r="B31" s="2" t="s">
        <v>13</v>
      </c>
      <c r="C31" s="2">
        <v>87989</v>
      </c>
      <c r="D31" s="2" t="s">
        <v>45</v>
      </c>
      <c r="E31" s="2">
        <v>1045</v>
      </c>
      <c r="F31" s="2" t="s">
        <v>43</v>
      </c>
      <c r="G31" s="8">
        <v>2.06E-2</v>
      </c>
      <c r="H31" s="8">
        <v>2.2000000000000001E-3</v>
      </c>
      <c r="I31" s="11"/>
      <c r="J31" s="9">
        <f t="shared" si="0"/>
        <v>2.2800000000000001E-2</v>
      </c>
      <c r="K31" s="10">
        <f t="shared" si="1"/>
        <v>23.826000000000001</v>
      </c>
    </row>
    <row r="32" spans="1:11" x14ac:dyDescent="0.25">
      <c r="A32" s="2" t="s">
        <v>12</v>
      </c>
      <c r="B32" s="2" t="s">
        <v>13</v>
      </c>
      <c r="C32" s="2">
        <v>88002</v>
      </c>
      <c r="D32" s="2" t="s">
        <v>46</v>
      </c>
      <c r="E32" s="2">
        <v>734</v>
      </c>
      <c r="F32" s="2" t="s">
        <v>43</v>
      </c>
      <c r="G32" s="8">
        <v>2.06E-2</v>
      </c>
      <c r="H32" s="8">
        <v>2.2000000000000001E-3</v>
      </c>
      <c r="I32" s="11"/>
      <c r="J32" s="9">
        <f t="shared" si="0"/>
        <v>2.2800000000000001E-2</v>
      </c>
      <c r="K32" s="10">
        <f t="shared" si="1"/>
        <v>16.735199999999999</v>
      </c>
    </row>
    <row r="33" spans="1:11" x14ac:dyDescent="0.25">
      <c r="A33" s="2" t="s">
        <v>12</v>
      </c>
      <c r="B33" s="2" t="s">
        <v>13</v>
      </c>
      <c r="C33" s="2">
        <v>88007</v>
      </c>
      <c r="D33" s="2" t="s">
        <v>47</v>
      </c>
      <c r="E33" s="2">
        <v>8600</v>
      </c>
      <c r="F33" s="2" t="s">
        <v>43</v>
      </c>
      <c r="G33" s="8">
        <v>2.06E-2</v>
      </c>
      <c r="H33" s="8">
        <v>2.2000000000000001E-3</v>
      </c>
      <c r="I33" s="11"/>
      <c r="J33" s="9">
        <f t="shared" si="0"/>
        <v>2.2800000000000001E-2</v>
      </c>
      <c r="K33" s="10">
        <f t="shared" si="1"/>
        <v>196.08</v>
      </c>
    </row>
    <row r="34" spans="1:11" x14ac:dyDescent="0.25">
      <c r="A34" s="2" t="s">
        <v>12</v>
      </c>
      <c r="B34" s="2" t="s">
        <v>13</v>
      </c>
      <c r="C34" s="2">
        <v>88008</v>
      </c>
      <c r="D34" s="2" t="s">
        <v>48</v>
      </c>
      <c r="E34" s="2">
        <v>3498</v>
      </c>
      <c r="F34" s="2" t="s">
        <v>43</v>
      </c>
      <c r="G34" s="8">
        <v>2.06E-2</v>
      </c>
      <c r="H34" s="8">
        <v>2.2000000000000001E-3</v>
      </c>
      <c r="I34" s="11"/>
      <c r="J34" s="9">
        <f t="shared" si="0"/>
        <v>2.2800000000000001E-2</v>
      </c>
      <c r="K34" s="10">
        <f t="shared" si="1"/>
        <v>79.754400000000004</v>
      </c>
    </row>
    <row r="35" spans="1:11" x14ac:dyDescent="0.25">
      <c r="A35" s="2" t="s">
        <v>12</v>
      </c>
      <c r="B35" s="2" t="s">
        <v>13</v>
      </c>
      <c r="C35" s="2">
        <v>88273</v>
      </c>
      <c r="D35" s="2" t="s">
        <v>49</v>
      </c>
      <c r="E35" s="2">
        <v>49</v>
      </c>
      <c r="F35" s="2" t="s">
        <v>43</v>
      </c>
      <c r="G35" s="8">
        <v>2.06E-2</v>
      </c>
      <c r="H35" s="8">
        <v>2.2000000000000001E-3</v>
      </c>
      <c r="I35" s="11"/>
      <c r="J35" s="9">
        <f t="shared" si="0"/>
        <v>2.2800000000000001E-2</v>
      </c>
      <c r="K35" s="10">
        <f t="shared" si="1"/>
        <v>1.1172</v>
      </c>
    </row>
    <row r="36" spans="1:11" x14ac:dyDescent="0.25">
      <c r="A36" s="2" t="s">
        <v>12</v>
      </c>
      <c r="B36" s="2" t="s">
        <v>13</v>
      </c>
      <c r="C36" s="2">
        <v>88274</v>
      </c>
      <c r="D36" s="2" t="s">
        <v>50</v>
      </c>
      <c r="E36" s="2">
        <v>20</v>
      </c>
      <c r="F36" s="2" t="s">
        <v>43</v>
      </c>
      <c r="G36" s="8">
        <v>2.06E-2</v>
      </c>
      <c r="H36" s="8">
        <v>2.2000000000000001E-3</v>
      </c>
      <c r="I36" s="11"/>
      <c r="J36" s="9">
        <f t="shared" si="0"/>
        <v>2.2800000000000001E-2</v>
      </c>
      <c r="K36" s="10">
        <f t="shared" si="1"/>
        <v>0.45600000000000002</v>
      </c>
    </row>
    <row r="37" spans="1:11" x14ac:dyDescent="0.25">
      <c r="A37" s="2" t="s">
        <v>12</v>
      </c>
      <c r="B37" s="2" t="s">
        <v>13</v>
      </c>
      <c r="C37" s="2">
        <v>88275</v>
      </c>
      <c r="D37" s="2" t="s">
        <v>51</v>
      </c>
      <c r="E37" s="2">
        <v>6</v>
      </c>
      <c r="F37" s="2" t="s">
        <v>43</v>
      </c>
      <c r="G37" s="8">
        <v>2.06E-2</v>
      </c>
      <c r="H37" s="8">
        <v>2.2000000000000001E-3</v>
      </c>
      <c r="I37" s="11"/>
      <c r="J37" s="9">
        <f t="shared" si="0"/>
        <v>2.2800000000000001E-2</v>
      </c>
      <c r="K37" s="10">
        <f t="shared" si="1"/>
        <v>0.1368</v>
      </c>
    </row>
    <row r="38" spans="1:11" x14ac:dyDescent="0.25">
      <c r="A38" s="2" t="s">
        <v>12</v>
      </c>
      <c r="B38" s="2" t="s">
        <v>13</v>
      </c>
      <c r="C38" s="2">
        <v>88276</v>
      </c>
      <c r="D38" s="2" t="s">
        <v>52</v>
      </c>
      <c r="E38" s="2">
        <v>62</v>
      </c>
      <c r="F38" s="2" t="s">
        <v>43</v>
      </c>
      <c r="G38" s="8">
        <v>2.06E-2</v>
      </c>
      <c r="H38" s="8">
        <v>2.2000000000000001E-3</v>
      </c>
      <c r="I38" s="11"/>
      <c r="J38" s="9">
        <f t="shared" si="0"/>
        <v>2.2800000000000001E-2</v>
      </c>
      <c r="K38" s="10">
        <f t="shared" si="1"/>
        <v>1.4136</v>
      </c>
    </row>
    <row r="39" spans="1:11" x14ac:dyDescent="0.25">
      <c r="A39" s="2" t="s">
        <v>12</v>
      </c>
      <c r="B39" s="2" t="s">
        <v>13</v>
      </c>
      <c r="C39" s="2">
        <v>88807</v>
      </c>
      <c r="D39" s="2" t="s">
        <v>53</v>
      </c>
      <c r="E39" s="2">
        <v>1230</v>
      </c>
      <c r="F39" s="2" t="s">
        <v>43</v>
      </c>
      <c r="G39" s="8">
        <v>2.06E-2</v>
      </c>
      <c r="H39" s="8">
        <v>2.2000000000000001E-3</v>
      </c>
      <c r="I39" s="11"/>
      <c r="J39" s="9">
        <f t="shared" si="0"/>
        <v>2.2800000000000001E-2</v>
      </c>
      <c r="K39" s="10">
        <f t="shared" si="1"/>
        <v>28.044</v>
      </c>
    </row>
    <row r="40" spans="1:11" x14ac:dyDescent="0.25">
      <c r="A40" s="2" t="s">
        <v>12</v>
      </c>
      <c r="B40" s="2" t="s">
        <v>13</v>
      </c>
      <c r="C40" s="2">
        <v>88808</v>
      </c>
      <c r="D40" s="2" t="s">
        <v>54</v>
      </c>
      <c r="E40" s="2">
        <v>438</v>
      </c>
      <c r="F40" s="2" t="s">
        <v>43</v>
      </c>
      <c r="G40" s="8">
        <v>2.06E-2</v>
      </c>
      <c r="H40" s="8">
        <v>2.2000000000000001E-3</v>
      </c>
      <c r="I40" s="11"/>
      <c r="J40" s="9">
        <f t="shared" si="0"/>
        <v>2.2800000000000001E-2</v>
      </c>
      <c r="K40" s="10">
        <f t="shared" si="1"/>
        <v>9.9863999999999997</v>
      </c>
    </row>
    <row r="41" spans="1:11" x14ac:dyDescent="0.25">
      <c r="A41" s="2" t="s">
        <v>12</v>
      </c>
      <c r="B41" s="2" t="s">
        <v>13</v>
      </c>
      <c r="C41" s="2">
        <v>89776</v>
      </c>
      <c r="D41" s="2" t="s">
        <v>55</v>
      </c>
      <c r="E41" s="2">
        <v>0</v>
      </c>
      <c r="F41" s="2" t="s">
        <v>43</v>
      </c>
      <c r="G41" s="8">
        <v>2.06E-2</v>
      </c>
      <c r="H41" s="8">
        <v>2.2000000000000001E-3</v>
      </c>
      <c r="I41" s="11"/>
      <c r="J41" s="9">
        <f t="shared" si="0"/>
        <v>2.2800000000000001E-2</v>
      </c>
      <c r="K41" s="10">
        <f t="shared" si="1"/>
        <v>0</v>
      </c>
    </row>
    <row r="42" spans="1:11" x14ac:dyDescent="0.25">
      <c r="A42" s="2" t="s">
        <v>12</v>
      </c>
      <c r="B42" s="2" t="s">
        <v>13</v>
      </c>
      <c r="C42" s="2">
        <v>89875</v>
      </c>
      <c r="D42" s="2" t="s">
        <v>56</v>
      </c>
      <c r="E42" s="2">
        <v>0</v>
      </c>
      <c r="F42" s="2" t="s">
        <v>43</v>
      </c>
      <c r="G42" s="8">
        <v>2.06E-2</v>
      </c>
      <c r="H42" s="8">
        <v>2.2000000000000001E-3</v>
      </c>
      <c r="I42" s="11"/>
      <c r="J42" s="9">
        <f t="shared" si="0"/>
        <v>2.2800000000000001E-2</v>
      </c>
      <c r="K42" s="10">
        <f t="shared" si="1"/>
        <v>0</v>
      </c>
    </row>
    <row r="43" spans="1:11" x14ac:dyDescent="0.25">
      <c r="A43" s="2" t="s">
        <v>12</v>
      </c>
      <c r="B43" s="2" t="s">
        <v>13</v>
      </c>
      <c r="C43" s="2">
        <v>89881</v>
      </c>
      <c r="D43" s="2" t="s">
        <v>57</v>
      </c>
      <c r="E43" s="2">
        <v>0</v>
      </c>
      <c r="F43" s="2" t="s">
        <v>43</v>
      </c>
      <c r="G43" s="8">
        <v>2.06E-2</v>
      </c>
      <c r="H43" s="8">
        <v>2.2000000000000001E-3</v>
      </c>
      <c r="I43" s="11"/>
      <c r="J43" s="9">
        <f t="shared" si="0"/>
        <v>2.2800000000000001E-2</v>
      </c>
      <c r="K43" s="10">
        <f t="shared" si="1"/>
        <v>0</v>
      </c>
    </row>
    <row r="44" spans="1:11" x14ac:dyDescent="0.25">
      <c r="A44" s="2" t="s">
        <v>12</v>
      </c>
      <c r="B44" s="2" t="s">
        <v>13</v>
      </c>
      <c r="C44" s="2">
        <v>89911</v>
      </c>
      <c r="D44" s="2" t="s">
        <v>58</v>
      </c>
      <c r="E44" s="2">
        <v>118</v>
      </c>
      <c r="F44" s="2" t="s">
        <v>43</v>
      </c>
      <c r="G44" s="8">
        <v>2.06E-2</v>
      </c>
      <c r="H44" s="8">
        <v>2.2000000000000001E-3</v>
      </c>
      <c r="I44" s="11"/>
      <c r="J44" s="9">
        <f t="shared" si="0"/>
        <v>2.2800000000000001E-2</v>
      </c>
      <c r="K44" s="10">
        <f t="shared" si="1"/>
        <v>2.6903999999999999</v>
      </c>
    </row>
    <row r="45" spans="1:11" x14ac:dyDescent="0.25">
      <c r="A45" s="2" t="s">
        <v>12</v>
      </c>
      <c r="B45" s="2" t="s">
        <v>13</v>
      </c>
      <c r="C45" s="2">
        <v>89962</v>
      </c>
      <c r="D45" s="2" t="s">
        <v>59</v>
      </c>
      <c r="E45" s="2">
        <v>78</v>
      </c>
      <c r="F45" s="2" t="s">
        <v>43</v>
      </c>
      <c r="G45" s="8">
        <v>2.06E-2</v>
      </c>
      <c r="H45" s="8">
        <v>2.2000000000000001E-3</v>
      </c>
      <c r="I45" s="11"/>
      <c r="J45" s="9">
        <f t="shared" si="0"/>
        <v>2.2800000000000001E-2</v>
      </c>
      <c r="K45" s="10">
        <f t="shared" si="1"/>
        <v>1.7784</v>
      </c>
    </row>
    <row r="46" spans="1:11" x14ac:dyDescent="0.25">
      <c r="A46" s="2" t="s">
        <v>12</v>
      </c>
      <c r="B46" s="2" t="s">
        <v>13</v>
      </c>
      <c r="C46" s="2">
        <v>17817</v>
      </c>
      <c r="D46" s="2" t="s">
        <v>60</v>
      </c>
      <c r="E46" s="2">
        <v>9842</v>
      </c>
      <c r="G46" s="8">
        <v>9.7754999999999995E-2</v>
      </c>
      <c r="H46" s="8">
        <v>1.1730599999999999E-2</v>
      </c>
      <c r="I46" s="8">
        <v>0</v>
      </c>
      <c r="J46" s="9">
        <f t="shared" si="0"/>
        <v>0.10948559999999999</v>
      </c>
      <c r="K46" s="10">
        <f t="shared" si="1"/>
        <v>1077.5572751999998</v>
      </c>
    </row>
    <row r="47" spans="1:11" x14ac:dyDescent="0.25">
      <c r="A47" s="2" t="s">
        <v>12</v>
      </c>
      <c r="B47" s="2" t="s">
        <v>13</v>
      </c>
      <c r="C47" s="2">
        <v>32727</v>
      </c>
      <c r="D47" s="2" t="s">
        <v>61</v>
      </c>
      <c r="E47" s="2">
        <v>6756</v>
      </c>
      <c r="G47" s="8">
        <v>0.32774951136363639</v>
      </c>
      <c r="H47" s="8">
        <v>3.5002375000000009E-2</v>
      </c>
      <c r="I47" s="8">
        <v>0.45999999999999991</v>
      </c>
      <c r="J47" s="9">
        <f t="shared" si="0"/>
        <v>0.82275188636363628</v>
      </c>
      <c r="K47" s="10">
        <f t="shared" si="1"/>
        <v>5558.5117442727269</v>
      </c>
    </row>
    <row r="48" spans="1:11" x14ac:dyDescent="0.25">
      <c r="A48" s="2" t="s">
        <v>12</v>
      </c>
      <c r="B48" s="2" t="s">
        <v>13</v>
      </c>
      <c r="C48" s="2">
        <v>39289</v>
      </c>
      <c r="D48" s="2" t="s">
        <v>62</v>
      </c>
      <c r="E48" s="2">
        <v>5694</v>
      </c>
      <c r="G48" s="8">
        <v>0.14909999999999998</v>
      </c>
      <c r="H48" s="8">
        <v>1.7891999999999998E-2</v>
      </c>
      <c r="I48" s="8">
        <v>0</v>
      </c>
      <c r="J48" s="9">
        <f t="shared" si="0"/>
        <v>0.16699199999999997</v>
      </c>
      <c r="K48" s="10">
        <f t="shared" si="1"/>
        <v>950.85244799999987</v>
      </c>
    </row>
    <row r="49" spans="1:11" x14ac:dyDescent="0.25">
      <c r="A49" s="2" t="s">
        <v>12</v>
      </c>
      <c r="B49" s="2" t="s">
        <v>13</v>
      </c>
      <c r="C49" s="2">
        <v>39505</v>
      </c>
      <c r="D49" s="2" t="s">
        <v>63</v>
      </c>
      <c r="E49" s="2">
        <v>3796</v>
      </c>
      <c r="G49" s="8">
        <v>0.28560000000000002</v>
      </c>
      <c r="H49" s="8">
        <v>3.4272000000000004E-2</v>
      </c>
      <c r="I49" s="8">
        <v>0</v>
      </c>
      <c r="J49" s="9">
        <f t="shared" si="0"/>
        <v>0.31987200000000005</v>
      </c>
      <c r="K49" s="10">
        <f t="shared" si="1"/>
        <v>1214.2341120000001</v>
      </c>
    </row>
    <row r="50" spans="1:11" x14ac:dyDescent="0.25">
      <c r="A50" s="2" t="s">
        <v>12</v>
      </c>
      <c r="B50" s="2" t="s">
        <v>13</v>
      </c>
      <c r="C50" s="2">
        <v>459</v>
      </c>
      <c r="D50" s="2" t="s">
        <v>64</v>
      </c>
      <c r="E50" s="2">
        <v>1801</v>
      </c>
      <c r="G50" s="8">
        <v>5.88</v>
      </c>
      <c r="H50" s="8">
        <v>0.7056</v>
      </c>
      <c r="I50" s="8">
        <v>0</v>
      </c>
      <c r="J50" s="9">
        <f t="shared" si="0"/>
        <v>6.5855999999999995</v>
      </c>
      <c r="K50" s="10">
        <f t="shared" si="1"/>
        <v>11860.665599999998</v>
      </c>
    </row>
    <row r="51" spans="1:11" x14ac:dyDescent="0.25">
      <c r="A51" s="2" t="s">
        <v>12</v>
      </c>
      <c r="B51" s="2" t="s">
        <v>13</v>
      </c>
      <c r="C51" s="2">
        <v>48561</v>
      </c>
      <c r="D51" s="2" t="s">
        <v>65</v>
      </c>
      <c r="E51" s="2">
        <v>2360</v>
      </c>
      <c r="G51" s="8">
        <v>0.37617391304347819</v>
      </c>
      <c r="H51" s="8">
        <v>4.0173913043478261E-2</v>
      </c>
      <c r="I51" s="8">
        <v>0.11499999999999998</v>
      </c>
      <c r="J51" s="9">
        <f t="shared" si="0"/>
        <v>0.53134782608695641</v>
      </c>
      <c r="K51" s="10">
        <f t="shared" si="1"/>
        <v>1253.9808695652171</v>
      </c>
    </row>
    <row r="52" spans="1:11" x14ac:dyDescent="0.25">
      <c r="A52" s="2" t="s">
        <v>12</v>
      </c>
      <c r="B52" s="2" t="s">
        <v>13</v>
      </c>
      <c r="C52" s="2">
        <v>49964</v>
      </c>
      <c r="D52" s="2" t="s">
        <v>66</v>
      </c>
      <c r="E52" s="2">
        <v>9068</v>
      </c>
      <c r="F52" s="2" t="s">
        <v>67</v>
      </c>
      <c r="G52" s="8">
        <v>0</v>
      </c>
      <c r="H52" s="8">
        <v>0</v>
      </c>
      <c r="I52" s="8">
        <v>0</v>
      </c>
      <c r="J52" s="9">
        <f t="shared" si="0"/>
        <v>0</v>
      </c>
      <c r="K52" s="10">
        <f t="shared" si="1"/>
        <v>0</v>
      </c>
    </row>
    <row r="53" spans="1:11" x14ac:dyDescent="0.25">
      <c r="A53" s="2" t="s">
        <v>12</v>
      </c>
      <c r="B53" s="2" t="s">
        <v>13</v>
      </c>
      <c r="C53" s="2">
        <v>58117</v>
      </c>
      <c r="D53" s="2" t="s">
        <v>68</v>
      </c>
      <c r="E53" s="2">
        <v>3796</v>
      </c>
      <c r="G53" s="8">
        <v>0.30865625000000002</v>
      </c>
      <c r="H53" s="8">
        <v>3.7038750000000002E-2</v>
      </c>
      <c r="I53" s="8">
        <v>0</v>
      </c>
      <c r="J53" s="9">
        <f t="shared" si="0"/>
        <v>0.34569500000000003</v>
      </c>
      <c r="K53" s="10">
        <f t="shared" si="1"/>
        <v>1312.2582200000002</v>
      </c>
    </row>
    <row r="54" spans="1:11" x14ac:dyDescent="0.25">
      <c r="A54" s="2" t="s">
        <v>12</v>
      </c>
      <c r="B54" s="2" t="s">
        <v>13</v>
      </c>
      <c r="C54" s="2">
        <v>58738</v>
      </c>
      <c r="D54" s="2" t="s">
        <v>69</v>
      </c>
      <c r="E54" s="2">
        <v>2460</v>
      </c>
      <c r="F54" s="2" t="s">
        <v>67</v>
      </c>
      <c r="G54" s="8">
        <v>0</v>
      </c>
      <c r="H54" s="8">
        <v>0</v>
      </c>
      <c r="I54" s="8">
        <v>0</v>
      </c>
      <c r="J54" s="9">
        <f t="shared" si="0"/>
        <v>0</v>
      </c>
      <c r="K54" s="10">
        <f t="shared" si="1"/>
        <v>0</v>
      </c>
    </row>
    <row r="55" spans="1:11" x14ac:dyDescent="0.25">
      <c r="A55" s="2" t="s">
        <v>12</v>
      </c>
      <c r="B55" s="2" t="s">
        <v>13</v>
      </c>
      <c r="C55" s="2">
        <v>58848</v>
      </c>
      <c r="D55" s="2" t="s">
        <v>70</v>
      </c>
      <c r="E55" s="2">
        <v>2500</v>
      </c>
      <c r="G55" s="8">
        <v>0.22890843117187504</v>
      </c>
      <c r="H55" s="8">
        <v>2.4446531484375006E-2</v>
      </c>
      <c r="I55" s="8">
        <v>0.34499999999999997</v>
      </c>
      <c r="J55" s="9">
        <f t="shared" si="0"/>
        <v>0.59835496265624999</v>
      </c>
      <c r="K55" s="10">
        <f t="shared" si="1"/>
        <v>1495.8874066406249</v>
      </c>
    </row>
    <row r="56" spans="1:11" x14ac:dyDescent="0.25">
      <c r="A56" s="2" t="s">
        <v>12</v>
      </c>
      <c r="B56" s="2" t="s">
        <v>13</v>
      </c>
      <c r="C56" s="2">
        <v>67271</v>
      </c>
      <c r="D56" s="2" t="s">
        <v>71</v>
      </c>
      <c r="E56" s="2">
        <v>1202</v>
      </c>
      <c r="G56" s="8">
        <v>0.46394999999999997</v>
      </c>
      <c r="H56" s="8">
        <v>5.5673999999999994E-2</v>
      </c>
      <c r="I56" s="8">
        <v>0</v>
      </c>
      <c r="J56" s="9">
        <f t="shared" si="0"/>
        <v>0.51962399999999997</v>
      </c>
      <c r="K56" s="10">
        <f t="shared" si="1"/>
        <v>624.58804799999996</v>
      </c>
    </row>
    <row r="57" spans="1:11" x14ac:dyDescent="0.25">
      <c r="A57" s="2" t="s">
        <v>12</v>
      </c>
      <c r="B57" s="2" t="s">
        <v>13</v>
      </c>
      <c r="C57" s="2">
        <v>68353</v>
      </c>
      <c r="D57" s="2" t="s">
        <v>72</v>
      </c>
      <c r="E57" s="2">
        <v>3593</v>
      </c>
      <c r="G57" s="8">
        <v>0.88371458333333341</v>
      </c>
      <c r="H57" s="8">
        <v>0.10604575000000001</v>
      </c>
      <c r="I57" s="8">
        <v>0</v>
      </c>
      <c r="J57" s="9">
        <f t="shared" si="0"/>
        <v>0.98976033333333346</v>
      </c>
      <c r="K57" s="10">
        <f t="shared" si="1"/>
        <v>3556.2088776666669</v>
      </c>
    </row>
    <row r="58" spans="1:11" x14ac:dyDescent="0.25">
      <c r="A58" s="2" t="s">
        <v>12</v>
      </c>
      <c r="B58" s="2" t="s">
        <v>13</v>
      </c>
      <c r="C58" s="2">
        <v>68370</v>
      </c>
      <c r="D58" s="2" t="s">
        <v>73</v>
      </c>
      <c r="E58" s="2">
        <v>3593</v>
      </c>
      <c r="G58" s="8">
        <v>0.24925</v>
      </c>
      <c r="H58" s="8">
        <v>2.9909999999999999E-2</v>
      </c>
      <c r="I58" s="8">
        <v>0</v>
      </c>
      <c r="J58" s="9">
        <f t="shared" si="0"/>
        <v>0.27916000000000002</v>
      </c>
      <c r="K58" s="10">
        <f t="shared" si="1"/>
        <v>1003.0218800000001</v>
      </c>
    </row>
    <row r="59" spans="1:11" x14ac:dyDescent="0.25">
      <c r="A59" s="2" t="s">
        <v>12</v>
      </c>
      <c r="B59" s="2" t="s">
        <v>13</v>
      </c>
      <c r="C59" s="2">
        <v>74862</v>
      </c>
      <c r="D59" s="2" t="s">
        <v>74</v>
      </c>
      <c r="E59" s="2">
        <v>773</v>
      </c>
      <c r="G59" s="8">
        <v>0.45040000000000002</v>
      </c>
      <c r="H59" s="8">
        <v>5.4047999999999999E-2</v>
      </c>
      <c r="I59" s="8">
        <v>0</v>
      </c>
      <c r="J59" s="9">
        <f t="shared" si="0"/>
        <v>0.50444800000000001</v>
      </c>
      <c r="K59" s="10">
        <f t="shared" si="1"/>
        <v>389.93830400000002</v>
      </c>
    </row>
    <row r="60" spans="1:11" x14ac:dyDescent="0.25">
      <c r="A60" s="2" t="s">
        <v>12</v>
      </c>
      <c r="B60" s="2" t="s">
        <v>13</v>
      </c>
      <c r="C60" s="2">
        <v>75240</v>
      </c>
      <c r="D60" s="2" t="s">
        <v>75</v>
      </c>
      <c r="E60" s="2">
        <v>62</v>
      </c>
      <c r="G60" s="8">
        <v>0.39999999999999997</v>
      </c>
      <c r="H60" s="8">
        <v>4.7999999999999994E-2</v>
      </c>
      <c r="I60" s="8">
        <v>0</v>
      </c>
      <c r="J60" s="9">
        <f t="shared" si="0"/>
        <v>0.44799999999999995</v>
      </c>
      <c r="K60" s="10">
        <f t="shared" si="1"/>
        <v>27.775999999999996</v>
      </c>
    </row>
    <row r="61" spans="1:11" x14ac:dyDescent="0.25">
      <c r="A61" s="2" t="s">
        <v>12</v>
      </c>
      <c r="B61" s="2" t="s">
        <v>13</v>
      </c>
      <c r="C61" s="2">
        <v>75245</v>
      </c>
      <c r="D61" s="2" t="s">
        <v>76</v>
      </c>
      <c r="E61" s="2">
        <v>958</v>
      </c>
      <c r="G61" s="8">
        <v>0.26</v>
      </c>
      <c r="H61" s="8">
        <v>3.1199999999999999E-2</v>
      </c>
      <c r="I61" s="8">
        <v>0</v>
      </c>
      <c r="J61" s="9">
        <f t="shared" si="0"/>
        <v>0.29120000000000001</v>
      </c>
      <c r="K61" s="10">
        <f t="shared" si="1"/>
        <v>278.96960000000001</v>
      </c>
    </row>
    <row r="62" spans="1:11" x14ac:dyDescent="0.25">
      <c r="A62" s="2" t="s">
        <v>12</v>
      </c>
      <c r="B62" s="2" t="s">
        <v>13</v>
      </c>
      <c r="C62" s="2">
        <v>75247</v>
      </c>
      <c r="D62" s="2" t="s">
        <v>77</v>
      </c>
      <c r="E62" s="2">
        <v>0</v>
      </c>
      <c r="G62" s="8">
        <v>0.24150000000000002</v>
      </c>
      <c r="H62" s="8">
        <v>2.8980000000000002E-2</v>
      </c>
      <c r="I62" s="8">
        <v>0</v>
      </c>
      <c r="J62" s="9">
        <f t="shared" si="0"/>
        <v>0.27048</v>
      </c>
      <c r="K62" s="10">
        <f t="shared" si="1"/>
        <v>0</v>
      </c>
    </row>
    <row r="63" spans="1:11" x14ac:dyDescent="0.25">
      <c r="A63" s="2" t="s">
        <v>12</v>
      </c>
      <c r="B63" s="2" t="s">
        <v>13</v>
      </c>
      <c r="C63" s="2">
        <v>77494</v>
      </c>
      <c r="D63" s="2" t="s">
        <v>78</v>
      </c>
      <c r="E63" s="2">
        <v>16385</v>
      </c>
      <c r="G63" s="8">
        <v>9.7754999999999995E-2</v>
      </c>
      <c r="H63" s="8">
        <v>1.1730599999999999E-2</v>
      </c>
      <c r="I63" s="8">
        <v>0</v>
      </c>
      <c r="J63" s="9">
        <f t="shared" si="0"/>
        <v>0.10948559999999999</v>
      </c>
      <c r="K63" s="10">
        <f t="shared" si="1"/>
        <v>1793.9215559999998</v>
      </c>
    </row>
    <row r="64" spans="1:11" x14ac:dyDescent="0.25">
      <c r="A64" s="2" t="s">
        <v>12</v>
      </c>
      <c r="B64" s="2" t="s">
        <v>13</v>
      </c>
      <c r="C64" s="2">
        <v>77988</v>
      </c>
      <c r="D64" s="2" t="s">
        <v>79</v>
      </c>
      <c r="E64" s="2">
        <v>101</v>
      </c>
      <c r="F64" s="2" t="s">
        <v>67</v>
      </c>
      <c r="G64" s="8">
        <v>0</v>
      </c>
      <c r="H64" s="8">
        <v>0</v>
      </c>
      <c r="I64" s="8">
        <v>0</v>
      </c>
      <c r="J64" s="9">
        <f t="shared" si="0"/>
        <v>0</v>
      </c>
      <c r="K64" s="10">
        <f t="shared" si="1"/>
        <v>0</v>
      </c>
    </row>
    <row r="65" spans="1:11" x14ac:dyDescent="0.25">
      <c r="A65" s="2" t="s">
        <v>12</v>
      </c>
      <c r="B65" s="2" t="s">
        <v>13</v>
      </c>
      <c r="C65" s="2">
        <v>79011</v>
      </c>
      <c r="D65" s="2" t="s">
        <v>80</v>
      </c>
      <c r="E65" s="2">
        <v>1099</v>
      </c>
      <c r="G65" s="8">
        <v>0.83260238547222232</v>
      </c>
      <c r="H65" s="8">
        <v>8.891870136111113E-2</v>
      </c>
      <c r="I65" s="8">
        <v>0.34499999999999997</v>
      </c>
      <c r="J65" s="9">
        <f t="shared" si="0"/>
        <v>1.2665210868333334</v>
      </c>
      <c r="K65" s="10">
        <f t="shared" si="1"/>
        <v>1391.9066744298334</v>
      </c>
    </row>
    <row r="66" spans="1:11" x14ac:dyDescent="0.25">
      <c r="A66" s="2" t="s">
        <v>12</v>
      </c>
      <c r="B66" s="2" t="s">
        <v>13</v>
      </c>
      <c r="C66" s="2">
        <v>79013</v>
      </c>
      <c r="D66" s="2" t="s">
        <v>81</v>
      </c>
      <c r="E66" s="2">
        <v>1071</v>
      </c>
      <c r="G66" s="8">
        <v>0.85237105387500012</v>
      </c>
      <c r="H66" s="8">
        <v>9.1029918375000018E-2</v>
      </c>
      <c r="I66" s="8">
        <v>0.34499999999999997</v>
      </c>
      <c r="J66" s="9">
        <f t="shared" si="0"/>
        <v>1.2884009722500001</v>
      </c>
      <c r="K66" s="10">
        <f t="shared" si="1"/>
        <v>1379.87744127975</v>
      </c>
    </row>
    <row r="67" spans="1:11" x14ac:dyDescent="0.25">
      <c r="A67" s="2" t="s">
        <v>12</v>
      </c>
      <c r="B67" s="2" t="s">
        <v>13</v>
      </c>
      <c r="C67" s="2">
        <v>79015</v>
      </c>
      <c r="D67" s="2" t="s">
        <v>82</v>
      </c>
      <c r="E67" s="2">
        <v>1091</v>
      </c>
      <c r="G67" s="8">
        <v>0.77466488547222223</v>
      </c>
      <c r="H67" s="8">
        <v>8.2731201361111117E-2</v>
      </c>
      <c r="I67" s="8">
        <v>0.34499999999999997</v>
      </c>
      <c r="J67" s="9">
        <f t="shared" ref="J67:J130" si="2">G67+H67+I67</f>
        <v>1.2023960868333332</v>
      </c>
      <c r="K67" s="10">
        <f t="shared" ref="K67:K130" si="3">J67*E67</f>
        <v>1311.8141307351666</v>
      </c>
    </row>
    <row r="68" spans="1:11" x14ac:dyDescent="0.25">
      <c r="A68" s="2" t="s">
        <v>12</v>
      </c>
      <c r="B68" s="2" t="s">
        <v>13</v>
      </c>
      <c r="C68" s="2">
        <v>79017</v>
      </c>
      <c r="D68" s="2" t="s">
        <v>83</v>
      </c>
      <c r="E68" s="2">
        <v>992</v>
      </c>
      <c r="G68" s="8">
        <v>0.79958355387500002</v>
      </c>
      <c r="H68" s="8">
        <v>8.5392418375000015E-2</v>
      </c>
      <c r="I68" s="8">
        <v>0.34499999999999997</v>
      </c>
      <c r="J68" s="9">
        <f t="shared" si="2"/>
        <v>1.2299759722500001</v>
      </c>
      <c r="K68" s="10">
        <f t="shared" si="3"/>
        <v>1220.136164472</v>
      </c>
    </row>
    <row r="69" spans="1:11" x14ac:dyDescent="0.25">
      <c r="A69" s="2" t="s">
        <v>12</v>
      </c>
      <c r="B69" s="2" t="s">
        <v>13</v>
      </c>
      <c r="C69" s="2">
        <v>80787</v>
      </c>
      <c r="D69" s="2" t="s">
        <v>84</v>
      </c>
      <c r="E69" s="2">
        <v>0</v>
      </c>
      <c r="G69" s="8">
        <v>3.9331999999999998</v>
      </c>
      <c r="H69" s="8">
        <v>0.47198399999999996</v>
      </c>
      <c r="I69" s="8">
        <v>0.22999999999999995</v>
      </c>
      <c r="J69" s="9">
        <f t="shared" si="2"/>
        <v>4.6351839999999997</v>
      </c>
      <c r="K69" s="10">
        <f t="shared" si="3"/>
        <v>0</v>
      </c>
    </row>
    <row r="70" spans="1:11" x14ac:dyDescent="0.25">
      <c r="A70" s="2" t="s">
        <v>12</v>
      </c>
      <c r="B70" s="2" t="s">
        <v>13</v>
      </c>
      <c r="C70" s="2">
        <v>80944</v>
      </c>
      <c r="D70" s="2" t="s">
        <v>85</v>
      </c>
      <c r="E70" s="2">
        <v>6320</v>
      </c>
      <c r="G70" s="8">
        <v>9.7754999999999995E-2</v>
      </c>
      <c r="H70" s="8">
        <v>1.1730599999999999E-2</v>
      </c>
      <c r="I70" s="8">
        <v>0</v>
      </c>
      <c r="J70" s="9">
        <f t="shared" si="2"/>
        <v>0.10948559999999999</v>
      </c>
      <c r="K70" s="10">
        <f t="shared" si="3"/>
        <v>691.94899199999998</v>
      </c>
    </row>
    <row r="71" spans="1:11" x14ac:dyDescent="0.25">
      <c r="A71" s="2" t="s">
        <v>12</v>
      </c>
      <c r="B71" s="2" t="s">
        <v>13</v>
      </c>
      <c r="C71" s="2">
        <v>82095</v>
      </c>
      <c r="D71" s="2" t="s">
        <v>86</v>
      </c>
      <c r="E71" s="2">
        <v>0</v>
      </c>
      <c r="G71" s="8">
        <v>0.24150000000000002</v>
      </c>
      <c r="H71" s="8">
        <v>2.8980000000000002E-2</v>
      </c>
      <c r="I71" s="8">
        <v>0</v>
      </c>
      <c r="J71" s="9">
        <f t="shared" si="2"/>
        <v>0.27048</v>
      </c>
      <c r="K71" s="10">
        <f t="shared" si="3"/>
        <v>0</v>
      </c>
    </row>
    <row r="72" spans="1:11" x14ac:dyDescent="0.25">
      <c r="A72" s="2" t="s">
        <v>12</v>
      </c>
      <c r="B72" s="2" t="s">
        <v>13</v>
      </c>
      <c r="C72" s="2">
        <v>82771</v>
      </c>
      <c r="D72" s="2" t="s">
        <v>87</v>
      </c>
      <c r="E72" s="2">
        <v>0</v>
      </c>
      <c r="G72" s="8">
        <v>9.7754999999999995E-2</v>
      </c>
      <c r="H72" s="8">
        <v>1.1730599999999999E-2</v>
      </c>
      <c r="I72" s="8">
        <v>0</v>
      </c>
      <c r="J72" s="9">
        <f t="shared" si="2"/>
        <v>0.10948559999999999</v>
      </c>
      <c r="K72" s="10">
        <f t="shared" si="3"/>
        <v>0</v>
      </c>
    </row>
    <row r="73" spans="1:11" x14ac:dyDescent="0.25">
      <c r="A73" s="2" t="s">
        <v>12</v>
      </c>
      <c r="B73" s="2" t="s">
        <v>13</v>
      </c>
      <c r="C73" s="2">
        <v>83559</v>
      </c>
      <c r="D73" s="2" t="s">
        <v>88</v>
      </c>
      <c r="E73" s="2">
        <v>2452</v>
      </c>
      <c r="G73" s="8">
        <v>1.7535750000000001</v>
      </c>
      <c r="H73" s="8">
        <v>0.210429</v>
      </c>
      <c r="I73" s="8">
        <v>0</v>
      </c>
      <c r="J73" s="9">
        <f t="shared" si="2"/>
        <v>1.9640040000000001</v>
      </c>
      <c r="K73" s="10">
        <f t="shared" si="3"/>
        <v>4815.7378079999999</v>
      </c>
    </row>
    <row r="74" spans="1:11" x14ac:dyDescent="0.25">
      <c r="A74" s="2" t="s">
        <v>12</v>
      </c>
      <c r="B74" s="2" t="s">
        <v>13</v>
      </c>
      <c r="C74" s="2">
        <v>87237</v>
      </c>
      <c r="D74" s="2" t="s">
        <v>89</v>
      </c>
      <c r="E74" s="2">
        <v>16</v>
      </c>
      <c r="G74" s="8">
        <v>0.315</v>
      </c>
      <c r="H74" s="8">
        <v>3.78E-2</v>
      </c>
      <c r="I74" s="8">
        <v>0</v>
      </c>
      <c r="J74" s="9">
        <f t="shared" si="2"/>
        <v>0.3528</v>
      </c>
      <c r="K74" s="10">
        <f t="shared" si="3"/>
        <v>5.6448</v>
      </c>
    </row>
    <row r="75" spans="1:11" x14ac:dyDescent="0.25">
      <c r="A75" s="2" t="s">
        <v>12</v>
      </c>
      <c r="B75" s="2" t="s">
        <v>13</v>
      </c>
      <c r="C75" s="2">
        <v>87304</v>
      </c>
      <c r="D75" s="2" t="s">
        <v>90</v>
      </c>
      <c r="E75" s="2">
        <v>62</v>
      </c>
      <c r="G75" s="8">
        <v>0.337509375</v>
      </c>
      <c r="H75" s="8">
        <v>4.0501124999999999E-2</v>
      </c>
      <c r="I75" s="8">
        <v>0</v>
      </c>
      <c r="J75" s="9">
        <f t="shared" si="2"/>
        <v>0.37801050000000003</v>
      </c>
      <c r="K75" s="10">
        <f t="shared" si="3"/>
        <v>23.436651000000001</v>
      </c>
    </row>
    <row r="76" spans="1:11" x14ac:dyDescent="0.25">
      <c r="A76" s="2" t="s">
        <v>12</v>
      </c>
      <c r="B76" s="2" t="s">
        <v>13</v>
      </c>
      <c r="C76" s="2">
        <v>87461</v>
      </c>
      <c r="D76" s="2" t="s">
        <v>91</v>
      </c>
      <c r="E76" s="2">
        <v>39</v>
      </c>
      <c r="G76" s="8">
        <v>0.474775</v>
      </c>
      <c r="H76" s="8">
        <v>5.6972999999999996E-2</v>
      </c>
      <c r="I76" s="8">
        <v>0</v>
      </c>
      <c r="J76" s="9">
        <f t="shared" si="2"/>
        <v>0.531748</v>
      </c>
      <c r="K76" s="10">
        <f t="shared" si="3"/>
        <v>20.738171999999999</v>
      </c>
    </row>
    <row r="77" spans="1:11" x14ac:dyDescent="0.25">
      <c r="A77" s="2" t="s">
        <v>12</v>
      </c>
      <c r="B77" s="2" t="s">
        <v>13</v>
      </c>
      <c r="C77" s="2">
        <v>87482</v>
      </c>
      <c r="D77" s="2" t="s">
        <v>92</v>
      </c>
      <c r="E77" s="2">
        <v>550</v>
      </c>
      <c r="F77" s="2" t="s">
        <v>67</v>
      </c>
      <c r="G77" s="8">
        <v>0</v>
      </c>
      <c r="H77" s="8">
        <v>0</v>
      </c>
      <c r="I77" s="8">
        <v>0</v>
      </c>
      <c r="J77" s="9">
        <f t="shared" si="2"/>
        <v>0</v>
      </c>
      <c r="K77" s="10">
        <f t="shared" si="3"/>
        <v>0</v>
      </c>
    </row>
    <row r="78" spans="1:11" x14ac:dyDescent="0.25">
      <c r="A78" s="2" t="s">
        <v>12</v>
      </c>
      <c r="B78" s="2" t="s">
        <v>13</v>
      </c>
      <c r="C78" s="2">
        <v>87995</v>
      </c>
      <c r="D78" s="2" t="s">
        <v>93</v>
      </c>
      <c r="E78" s="2">
        <v>20</v>
      </c>
      <c r="G78" s="8">
        <v>1.8169200000000001</v>
      </c>
      <c r="H78" s="8">
        <v>0.19404000000000002</v>
      </c>
      <c r="I78" s="8">
        <v>0.69</v>
      </c>
      <c r="J78" s="9">
        <f t="shared" si="2"/>
        <v>2.7009600000000002</v>
      </c>
      <c r="K78" s="10">
        <f t="shared" si="3"/>
        <v>54.019200000000005</v>
      </c>
    </row>
    <row r="79" spans="1:11" x14ac:dyDescent="0.25">
      <c r="A79" s="2" t="s">
        <v>12</v>
      </c>
      <c r="B79" s="2" t="s">
        <v>13</v>
      </c>
      <c r="C79" s="2">
        <v>87996</v>
      </c>
      <c r="D79" s="2" t="s">
        <v>94</v>
      </c>
      <c r="E79" s="2">
        <v>78</v>
      </c>
      <c r="G79" s="8">
        <v>1.8169200000000001</v>
      </c>
      <c r="H79" s="8">
        <v>0.19404000000000002</v>
      </c>
      <c r="I79" s="8">
        <v>0.69</v>
      </c>
      <c r="J79" s="9">
        <f t="shared" si="2"/>
        <v>2.7009600000000002</v>
      </c>
      <c r="K79" s="10">
        <f t="shared" si="3"/>
        <v>210.67488000000003</v>
      </c>
    </row>
    <row r="80" spans="1:11" x14ac:dyDescent="0.25">
      <c r="A80" s="2" t="s">
        <v>12</v>
      </c>
      <c r="B80" s="2" t="s">
        <v>13</v>
      </c>
      <c r="C80" s="2">
        <v>87997</v>
      </c>
      <c r="D80" s="2" t="s">
        <v>95</v>
      </c>
      <c r="E80" s="2">
        <v>118</v>
      </c>
      <c r="G80" s="8">
        <v>1.5789899999999999</v>
      </c>
      <c r="H80" s="8">
        <v>0.16863</v>
      </c>
      <c r="I80" s="8">
        <v>0.69</v>
      </c>
      <c r="J80" s="9">
        <f t="shared" si="2"/>
        <v>2.4376199999999999</v>
      </c>
      <c r="K80" s="10">
        <f t="shared" si="3"/>
        <v>287.63916</v>
      </c>
    </row>
    <row r="81" spans="1:11" x14ac:dyDescent="0.25">
      <c r="A81" s="2" t="s">
        <v>12</v>
      </c>
      <c r="B81" s="2" t="s">
        <v>13</v>
      </c>
      <c r="C81" s="2">
        <v>87998</v>
      </c>
      <c r="D81" s="2" t="s">
        <v>96</v>
      </c>
      <c r="E81" s="2">
        <v>6</v>
      </c>
      <c r="G81" s="8">
        <v>1.5789899999999999</v>
      </c>
      <c r="H81" s="8">
        <v>0.16863</v>
      </c>
      <c r="I81" s="8">
        <v>0.69</v>
      </c>
      <c r="J81" s="9">
        <f t="shared" si="2"/>
        <v>2.4376199999999999</v>
      </c>
      <c r="K81" s="10">
        <f t="shared" si="3"/>
        <v>14.625719999999999</v>
      </c>
    </row>
    <row r="82" spans="1:11" x14ac:dyDescent="0.25">
      <c r="A82" s="2" t="s">
        <v>12</v>
      </c>
      <c r="B82" s="2" t="s">
        <v>13</v>
      </c>
      <c r="C82" s="2">
        <v>87999</v>
      </c>
      <c r="D82" s="2" t="s">
        <v>97</v>
      </c>
      <c r="E82" s="2">
        <v>10</v>
      </c>
      <c r="G82" s="8">
        <v>1.8169200000000001</v>
      </c>
      <c r="H82" s="8">
        <v>0.19404000000000002</v>
      </c>
      <c r="I82" s="8">
        <v>0.69</v>
      </c>
      <c r="J82" s="9">
        <f t="shared" si="2"/>
        <v>2.7009600000000002</v>
      </c>
      <c r="K82" s="10">
        <f t="shared" si="3"/>
        <v>27.009600000000002</v>
      </c>
    </row>
    <row r="83" spans="1:11" x14ac:dyDescent="0.25">
      <c r="A83" s="2" t="s">
        <v>12</v>
      </c>
      <c r="B83" s="2" t="s">
        <v>13</v>
      </c>
      <c r="C83" s="2">
        <v>88000</v>
      </c>
      <c r="D83" s="2" t="s">
        <v>98</v>
      </c>
      <c r="E83" s="2">
        <v>39</v>
      </c>
      <c r="G83" s="8">
        <v>1.8169200000000001</v>
      </c>
      <c r="H83" s="8">
        <v>0.19404000000000002</v>
      </c>
      <c r="I83" s="8">
        <v>0.69</v>
      </c>
      <c r="J83" s="9">
        <f t="shared" si="2"/>
        <v>2.7009600000000002</v>
      </c>
      <c r="K83" s="10">
        <f t="shared" si="3"/>
        <v>105.33744000000002</v>
      </c>
    </row>
    <row r="84" spans="1:11" x14ac:dyDescent="0.25">
      <c r="A84" s="2" t="s">
        <v>12</v>
      </c>
      <c r="B84" s="2" t="s">
        <v>13</v>
      </c>
      <c r="C84" s="2">
        <v>88005</v>
      </c>
      <c r="D84" s="2" t="s">
        <v>99</v>
      </c>
      <c r="E84" s="2">
        <v>4253</v>
      </c>
      <c r="G84" s="8">
        <v>0.26</v>
      </c>
      <c r="H84" s="8">
        <v>3.1199999999999999E-2</v>
      </c>
      <c r="I84" s="8">
        <v>0</v>
      </c>
      <c r="J84" s="9">
        <f t="shared" si="2"/>
        <v>0.29120000000000001</v>
      </c>
      <c r="K84" s="10">
        <f t="shared" si="3"/>
        <v>1238.4736</v>
      </c>
    </row>
    <row r="85" spans="1:11" x14ac:dyDescent="0.25">
      <c r="A85" s="2" t="s">
        <v>12</v>
      </c>
      <c r="B85" s="2" t="s">
        <v>13</v>
      </c>
      <c r="C85" s="2">
        <v>88269</v>
      </c>
      <c r="D85" s="2" t="s">
        <v>100</v>
      </c>
      <c r="E85" s="2">
        <v>4737</v>
      </c>
      <c r="G85" s="8">
        <v>1.597839</v>
      </c>
      <c r="H85" s="8">
        <v>0.17064300000000002</v>
      </c>
      <c r="I85" s="8">
        <v>0</v>
      </c>
      <c r="J85" s="9">
        <f t="shared" si="2"/>
        <v>1.7684820000000001</v>
      </c>
      <c r="K85" s="10">
        <f t="shared" si="3"/>
        <v>8377.2992340000001</v>
      </c>
    </row>
    <row r="86" spans="1:11" x14ac:dyDescent="0.25">
      <c r="A86" s="2" t="s">
        <v>12</v>
      </c>
      <c r="B86" s="2" t="s">
        <v>13</v>
      </c>
      <c r="C86" s="2">
        <v>88270</v>
      </c>
      <c r="D86" s="2" t="s">
        <v>101</v>
      </c>
      <c r="E86" s="2">
        <v>270</v>
      </c>
      <c r="G86" s="8">
        <v>1.597839</v>
      </c>
      <c r="H86" s="8">
        <v>0.17064300000000002</v>
      </c>
      <c r="I86" s="8">
        <v>0</v>
      </c>
      <c r="J86" s="9">
        <f t="shared" si="2"/>
        <v>1.7684820000000001</v>
      </c>
      <c r="K86" s="10">
        <f t="shared" si="3"/>
        <v>477.49014000000005</v>
      </c>
    </row>
    <row r="87" spans="1:11" x14ac:dyDescent="0.25">
      <c r="A87" s="2" t="s">
        <v>12</v>
      </c>
      <c r="B87" s="2" t="s">
        <v>13</v>
      </c>
      <c r="C87" s="2">
        <v>88271</v>
      </c>
      <c r="D87" s="2" t="s">
        <v>102</v>
      </c>
      <c r="E87" s="2">
        <v>2449</v>
      </c>
      <c r="G87" s="8">
        <v>1.7088616700000001</v>
      </c>
      <c r="H87" s="8">
        <v>0.18249979000000002</v>
      </c>
      <c r="I87" s="8">
        <v>0</v>
      </c>
      <c r="J87" s="9">
        <f t="shared" si="2"/>
        <v>1.8913614600000002</v>
      </c>
      <c r="K87" s="10">
        <f t="shared" si="3"/>
        <v>4631.9442155400002</v>
      </c>
    </row>
    <row r="88" spans="1:11" x14ac:dyDescent="0.25">
      <c r="A88" s="2" t="s">
        <v>12</v>
      </c>
      <c r="B88" s="2" t="s">
        <v>13</v>
      </c>
      <c r="C88" s="2">
        <v>88272</v>
      </c>
      <c r="D88" s="2" t="s">
        <v>103</v>
      </c>
      <c r="E88" s="2">
        <v>2272</v>
      </c>
      <c r="G88" s="8">
        <v>1.7088616700000001</v>
      </c>
      <c r="H88" s="8">
        <v>0.18249979000000002</v>
      </c>
      <c r="I88" s="8">
        <v>0</v>
      </c>
      <c r="J88" s="9">
        <f t="shared" si="2"/>
        <v>1.8913614600000002</v>
      </c>
      <c r="K88" s="10">
        <f t="shared" si="3"/>
        <v>4297.1732371200005</v>
      </c>
    </row>
    <row r="89" spans="1:11" x14ac:dyDescent="0.25">
      <c r="A89" s="2" t="s">
        <v>12</v>
      </c>
      <c r="B89" s="2" t="s">
        <v>13</v>
      </c>
      <c r="C89" s="2">
        <v>88284</v>
      </c>
      <c r="D89" s="2" t="s">
        <v>104</v>
      </c>
      <c r="E89" s="2">
        <v>3</v>
      </c>
      <c r="G89" s="8">
        <v>0.96250000000000002</v>
      </c>
      <c r="H89" s="8">
        <v>0.11549999999999999</v>
      </c>
      <c r="I89" s="8">
        <v>0</v>
      </c>
      <c r="J89" s="9">
        <f t="shared" si="2"/>
        <v>1.0780000000000001</v>
      </c>
      <c r="K89" s="10">
        <f t="shared" si="3"/>
        <v>3.234</v>
      </c>
    </row>
    <row r="90" spans="1:11" x14ac:dyDescent="0.25">
      <c r="A90" s="2" t="s">
        <v>12</v>
      </c>
      <c r="B90" s="2" t="s">
        <v>13</v>
      </c>
      <c r="C90" s="2">
        <v>88285</v>
      </c>
      <c r="D90" s="2" t="s">
        <v>105</v>
      </c>
      <c r="E90" s="2">
        <v>59</v>
      </c>
      <c r="G90" s="8">
        <v>1.028125</v>
      </c>
      <c r="H90" s="8">
        <v>0.12337499999999998</v>
      </c>
      <c r="I90" s="8">
        <v>0</v>
      </c>
      <c r="J90" s="9">
        <f t="shared" si="2"/>
        <v>1.1515</v>
      </c>
      <c r="K90" s="10">
        <f t="shared" si="3"/>
        <v>67.938500000000005</v>
      </c>
    </row>
    <row r="91" spans="1:11" x14ac:dyDescent="0.25">
      <c r="A91" s="2" t="s">
        <v>12</v>
      </c>
      <c r="B91" s="2" t="s">
        <v>13</v>
      </c>
      <c r="C91" s="2">
        <v>88475</v>
      </c>
      <c r="D91" s="2" t="s">
        <v>106</v>
      </c>
      <c r="E91" s="2">
        <v>216</v>
      </c>
      <c r="G91" s="8">
        <v>0.40256250000000005</v>
      </c>
      <c r="H91" s="8">
        <v>4.8307500000000003E-2</v>
      </c>
      <c r="I91" s="8">
        <v>0</v>
      </c>
      <c r="J91" s="9">
        <f t="shared" si="2"/>
        <v>0.45087000000000005</v>
      </c>
      <c r="K91" s="10">
        <f t="shared" si="3"/>
        <v>97.387920000000008</v>
      </c>
    </row>
    <row r="92" spans="1:11" x14ac:dyDescent="0.25">
      <c r="A92" s="2" t="s">
        <v>12</v>
      </c>
      <c r="B92" s="2" t="s">
        <v>13</v>
      </c>
      <c r="C92" s="2">
        <v>88596</v>
      </c>
      <c r="D92" s="2" t="s">
        <v>107</v>
      </c>
      <c r="E92" s="2">
        <v>350</v>
      </c>
      <c r="G92" s="8">
        <v>0.26</v>
      </c>
      <c r="H92" s="8">
        <v>3.1199999999999999E-2</v>
      </c>
      <c r="I92" s="8">
        <v>0</v>
      </c>
      <c r="J92" s="9">
        <f t="shared" si="2"/>
        <v>0.29120000000000001</v>
      </c>
      <c r="K92" s="10">
        <f t="shared" si="3"/>
        <v>101.92</v>
      </c>
    </row>
    <row r="93" spans="1:11" x14ac:dyDescent="0.25">
      <c r="A93" s="2" t="s">
        <v>12</v>
      </c>
      <c r="B93" s="2" t="s">
        <v>13</v>
      </c>
      <c r="C93" s="2">
        <v>88738</v>
      </c>
      <c r="D93" s="2" t="s">
        <v>108</v>
      </c>
      <c r="E93" s="2">
        <v>634</v>
      </c>
      <c r="G93" s="8">
        <v>0.1545</v>
      </c>
      <c r="H93" s="8">
        <v>1.6500000000000001E-2</v>
      </c>
      <c r="I93" s="8">
        <v>0.34499999999999997</v>
      </c>
      <c r="J93" s="9">
        <f t="shared" si="2"/>
        <v>0.51600000000000001</v>
      </c>
      <c r="K93" s="10">
        <f t="shared" si="3"/>
        <v>327.14400000000001</v>
      </c>
    </row>
    <row r="94" spans="1:11" x14ac:dyDescent="0.25">
      <c r="A94" s="2" t="s">
        <v>12</v>
      </c>
      <c r="B94" s="2" t="s">
        <v>13</v>
      </c>
      <c r="C94" s="2">
        <v>88802</v>
      </c>
      <c r="D94" s="2" t="s">
        <v>109</v>
      </c>
      <c r="E94" s="2">
        <v>232</v>
      </c>
      <c r="G94" s="8">
        <v>0.1545</v>
      </c>
      <c r="H94" s="8">
        <v>1.6500000000000001E-2</v>
      </c>
      <c r="I94" s="8">
        <v>0.34499999999999997</v>
      </c>
      <c r="J94" s="9">
        <f t="shared" si="2"/>
        <v>0.51600000000000001</v>
      </c>
      <c r="K94" s="10">
        <f t="shared" si="3"/>
        <v>119.712</v>
      </c>
    </row>
    <row r="95" spans="1:11" x14ac:dyDescent="0.25">
      <c r="A95" s="2" t="s">
        <v>12</v>
      </c>
      <c r="B95" s="2" t="s">
        <v>13</v>
      </c>
      <c r="C95" s="2">
        <v>88803</v>
      </c>
      <c r="D95" s="2" t="s">
        <v>110</v>
      </c>
      <c r="E95" s="2">
        <v>596</v>
      </c>
      <c r="G95" s="8">
        <v>0.34083918526785717</v>
      </c>
      <c r="H95" s="8">
        <v>3.6400301339285721E-2</v>
      </c>
      <c r="I95" s="8">
        <v>0.34499999999999997</v>
      </c>
      <c r="J95" s="9">
        <f t="shared" si="2"/>
        <v>0.72223948660714288</v>
      </c>
      <c r="K95" s="10">
        <f t="shared" si="3"/>
        <v>430.45473401785716</v>
      </c>
    </row>
    <row r="96" spans="1:11" x14ac:dyDescent="0.25">
      <c r="A96" s="2" t="s">
        <v>12</v>
      </c>
      <c r="B96" s="2" t="s">
        <v>13</v>
      </c>
      <c r="C96" s="2">
        <v>88804</v>
      </c>
      <c r="D96" s="2" t="s">
        <v>111</v>
      </c>
      <c r="E96" s="2">
        <v>206</v>
      </c>
      <c r="G96" s="8">
        <v>0.34083918526785717</v>
      </c>
      <c r="H96" s="8">
        <v>3.6400301339285721E-2</v>
      </c>
      <c r="I96" s="8">
        <v>0.34499999999999997</v>
      </c>
      <c r="J96" s="9">
        <f t="shared" si="2"/>
        <v>0.72223948660714288</v>
      </c>
      <c r="K96" s="10">
        <f t="shared" si="3"/>
        <v>148.78133424107142</v>
      </c>
    </row>
    <row r="97" spans="1:11" x14ac:dyDescent="0.25">
      <c r="A97" s="2" t="s">
        <v>12</v>
      </c>
      <c r="B97" s="2" t="s">
        <v>13</v>
      </c>
      <c r="C97" s="2">
        <v>89758</v>
      </c>
      <c r="D97" s="2" t="s">
        <v>112</v>
      </c>
      <c r="E97" s="2">
        <v>9830</v>
      </c>
      <c r="G97" s="8">
        <v>0.11</v>
      </c>
      <c r="H97" s="8">
        <v>1.32E-2</v>
      </c>
      <c r="I97" s="8">
        <v>0</v>
      </c>
      <c r="J97" s="9">
        <f t="shared" si="2"/>
        <v>0.1232</v>
      </c>
      <c r="K97" s="10">
        <f t="shared" si="3"/>
        <v>1211.056</v>
      </c>
    </row>
    <row r="98" spans="1:11" x14ac:dyDescent="0.25">
      <c r="A98" s="2" t="s">
        <v>12</v>
      </c>
      <c r="B98" s="2" t="s">
        <v>13</v>
      </c>
      <c r="C98" s="2">
        <v>89759</v>
      </c>
      <c r="D98" s="2" t="s">
        <v>113</v>
      </c>
      <c r="E98" s="2">
        <v>3936</v>
      </c>
      <c r="G98" s="8">
        <v>0.11</v>
      </c>
      <c r="H98" s="8">
        <v>1.32E-2</v>
      </c>
      <c r="I98" s="8">
        <v>0</v>
      </c>
      <c r="J98" s="9">
        <f t="shared" si="2"/>
        <v>0.1232</v>
      </c>
      <c r="K98" s="10">
        <f t="shared" si="3"/>
        <v>484.91520000000003</v>
      </c>
    </row>
    <row r="99" spans="1:11" x14ac:dyDescent="0.25">
      <c r="A99" s="2" t="s">
        <v>12</v>
      </c>
      <c r="B99" s="2" t="s">
        <v>13</v>
      </c>
      <c r="C99" s="2">
        <v>89769</v>
      </c>
      <c r="D99" s="2" t="s">
        <v>114</v>
      </c>
      <c r="E99" s="2">
        <v>0</v>
      </c>
      <c r="G99" s="8">
        <v>0.26</v>
      </c>
      <c r="H99" s="8">
        <v>3.1199999999999999E-2</v>
      </c>
      <c r="I99" s="8">
        <v>0</v>
      </c>
      <c r="J99" s="9">
        <f t="shared" si="2"/>
        <v>0.29120000000000001</v>
      </c>
      <c r="K99" s="10">
        <f t="shared" si="3"/>
        <v>0</v>
      </c>
    </row>
    <row r="100" spans="1:11" x14ac:dyDescent="0.25">
      <c r="A100" s="2" t="s">
        <v>12</v>
      </c>
      <c r="B100" s="2" t="s">
        <v>13</v>
      </c>
      <c r="C100" s="2">
        <v>89828</v>
      </c>
      <c r="D100" s="2" t="s">
        <v>115</v>
      </c>
      <c r="E100" s="2">
        <v>0</v>
      </c>
      <c r="G100" s="8">
        <v>2.17</v>
      </c>
      <c r="H100" s="8">
        <v>0.26039999999999996</v>
      </c>
      <c r="I100" s="8">
        <v>0.19779999999999998</v>
      </c>
      <c r="J100" s="9">
        <f t="shared" si="2"/>
        <v>2.6281999999999996</v>
      </c>
      <c r="K100" s="10">
        <f t="shared" si="3"/>
        <v>0</v>
      </c>
    </row>
    <row r="101" spans="1:11" x14ac:dyDescent="0.25">
      <c r="A101" s="2" t="s">
        <v>12</v>
      </c>
      <c r="B101" s="2" t="s">
        <v>13</v>
      </c>
      <c r="C101" s="2">
        <v>89829</v>
      </c>
      <c r="D101" s="2" t="s">
        <v>116</v>
      </c>
      <c r="E101" s="2">
        <v>0</v>
      </c>
      <c r="G101" s="8">
        <v>0.26</v>
      </c>
      <c r="H101" s="8">
        <v>3.1199999999999999E-2</v>
      </c>
      <c r="I101" s="8">
        <v>0</v>
      </c>
      <c r="J101" s="9">
        <f t="shared" si="2"/>
        <v>0.29120000000000001</v>
      </c>
      <c r="K101" s="10">
        <f t="shared" si="3"/>
        <v>0</v>
      </c>
    </row>
    <row r="102" spans="1:11" x14ac:dyDescent="0.25">
      <c r="A102" s="2" t="s">
        <v>12</v>
      </c>
      <c r="B102" s="2" t="s">
        <v>13</v>
      </c>
      <c r="C102" s="2">
        <v>89878</v>
      </c>
      <c r="D102" s="2" t="s">
        <v>117</v>
      </c>
      <c r="E102" s="2">
        <v>0</v>
      </c>
      <c r="G102" s="8">
        <v>0.95279956328185311</v>
      </c>
      <c r="H102" s="8">
        <v>0.10175529316602316</v>
      </c>
      <c r="I102" s="8">
        <v>0.69</v>
      </c>
      <c r="J102" s="9">
        <f t="shared" si="2"/>
        <v>1.7445548564478761</v>
      </c>
      <c r="K102" s="10">
        <f t="shared" si="3"/>
        <v>0</v>
      </c>
    </row>
    <row r="103" spans="1:11" x14ac:dyDescent="0.25">
      <c r="A103" s="2" t="s">
        <v>12</v>
      </c>
      <c r="B103" s="2" t="s">
        <v>13</v>
      </c>
      <c r="C103" s="2">
        <v>89879</v>
      </c>
      <c r="D103" s="2" t="s">
        <v>118</v>
      </c>
      <c r="E103" s="2">
        <v>0</v>
      </c>
      <c r="G103" s="8">
        <v>0.95279956328185311</v>
      </c>
      <c r="H103" s="8">
        <v>0.10175529316602316</v>
      </c>
      <c r="I103" s="8">
        <v>0.69</v>
      </c>
      <c r="J103" s="9">
        <f t="shared" si="2"/>
        <v>1.7445548564478761</v>
      </c>
      <c r="K103" s="10">
        <f t="shared" si="3"/>
        <v>0</v>
      </c>
    </row>
    <row r="104" spans="1:11" x14ac:dyDescent="0.25">
      <c r="A104" s="2" t="s">
        <v>12</v>
      </c>
      <c r="B104" s="2" t="s">
        <v>13</v>
      </c>
      <c r="C104" s="2">
        <v>89880</v>
      </c>
      <c r="D104" s="2" t="s">
        <v>119</v>
      </c>
      <c r="E104" s="2">
        <v>0</v>
      </c>
      <c r="G104" s="8">
        <v>9.7754999999999995E-2</v>
      </c>
      <c r="H104" s="8">
        <v>1.1730599999999999E-2</v>
      </c>
      <c r="I104" s="8">
        <v>0</v>
      </c>
      <c r="J104" s="9">
        <f t="shared" si="2"/>
        <v>0.10948559999999999</v>
      </c>
      <c r="K104" s="10">
        <f t="shared" si="3"/>
        <v>0</v>
      </c>
    </row>
    <row r="105" spans="1:11" x14ac:dyDescent="0.25">
      <c r="A105" s="2" t="s">
        <v>12</v>
      </c>
      <c r="B105" s="2" t="s">
        <v>13</v>
      </c>
      <c r="C105" s="2">
        <v>89954</v>
      </c>
      <c r="D105" s="2" t="s">
        <v>120</v>
      </c>
      <c r="E105" s="2">
        <v>3836</v>
      </c>
      <c r="G105" s="8">
        <v>0.26</v>
      </c>
      <c r="H105" s="8">
        <v>3.1199999999999999E-2</v>
      </c>
      <c r="I105" s="8">
        <v>0</v>
      </c>
      <c r="J105" s="9">
        <f t="shared" si="2"/>
        <v>0.29120000000000001</v>
      </c>
      <c r="K105" s="10">
        <f t="shared" si="3"/>
        <v>1117.0432000000001</v>
      </c>
    </row>
    <row r="106" spans="1:11" x14ac:dyDescent="0.25">
      <c r="A106" s="2" t="s">
        <v>12</v>
      </c>
      <c r="B106" s="2" t="s">
        <v>13</v>
      </c>
      <c r="C106" s="2">
        <v>90262</v>
      </c>
      <c r="D106" s="2" t="s">
        <v>121</v>
      </c>
      <c r="E106" s="2">
        <v>1473</v>
      </c>
      <c r="G106" s="8">
        <v>1.9055000000000002</v>
      </c>
      <c r="H106" s="8">
        <v>0.20350000000000004</v>
      </c>
      <c r="I106" s="8">
        <v>0.69</v>
      </c>
      <c r="J106" s="9">
        <f t="shared" si="2"/>
        <v>2.7990000000000004</v>
      </c>
      <c r="K106" s="10">
        <f t="shared" si="3"/>
        <v>4122.9270000000006</v>
      </c>
    </row>
    <row r="107" spans="1:11" x14ac:dyDescent="0.25">
      <c r="A107" s="2" t="s">
        <v>12</v>
      </c>
      <c r="B107" s="2" t="s">
        <v>13</v>
      </c>
      <c r="C107" s="2">
        <v>90263</v>
      </c>
      <c r="D107" s="2" t="s">
        <v>122</v>
      </c>
      <c r="E107" s="2">
        <v>543</v>
      </c>
      <c r="G107" s="8">
        <v>1.9055000000000002</v>
      </c>
      <c r="H107" s="8">
        <v>0.20350000000000004</v>
      </c>
      <c r="I107" s="8">
        <v>0.69</v>
      </c>
      <c r="J107" s="9">
        <f t="shared" si="2"/>
        <v>2.7990000000000004</v>
      </c>
      <c r="K107" s="10">
        <f t="shared" si="3"/>
        <v>1519.8570000000002</v>
      </c>
    </row>
    <row r="108" spans="1:11" x14ac:dyDescent="0.25">
      <c r="A108" s="2" t="s">
        <v>12</v>
      </c>
      <c r="B108" s="2" t="s">
        <v>13</v>
      </c>
      <c r="C108" s="2">
        <v>90264</v>
      </c>
      <c r="D108" s="2" t="s">
        <v>123</v>
      </c>
      <c r="E108" s="2">
        <v>1045</v>
      </c>
      <c r="G108" s="8">
        <v>0.69447499999999995</v>
      </c>
      <c r="H108" s="8">
        <v>8.3336999999999994E-2</v>
      </c>
      <c r="I108" s="8">
        <v>0</v>
      </c>
      <c r="J108" s="9">
        <f t="shared" si="2"/>
        <v>0.77781199999999995</v>
      </c>
      <c r="K108" s="10">
        <f t="shared" si="3"/>
        <v>812.81353999999999</v>
      </c>
    </row>
    <row r="109" spans="1:11" x14ac:dyDescent="0.25">
      <c r="A109" s="2" t="s">
        <v>12</v>
      </c>
      <c r="B109" s="2" t="s">
        <v>13</v>
      </c>
      <c r="C109" s="2">
        <v>90266</v>
      </c>
      <c r="D109" s="2" t="s">
        <v>124</v>
      </c>
      <c r="E109" s="2">
        <v>1502</v>
      </c>
      <c r="G109" s="8">
        <v>1.7406999999999999</v>
      </c>
      <c r="H109" s="8">
        <v>0.18590000000000001</v>
      </c>
      <c r="I109" s="8">
        <v>0.57499999999999984</v>
      </c>
      <c r="J109" s="9">
        <f t="shared" si="2"/>
        <v>2.5015999999999998</v>
      </c>
      <c r="K109" s="10">
        <f t="shared" si="3"/>
        <v>3757.4031999999997</v>
      </c>
    </row>
    <row r="110" spans="1:11" x14ac:dyDescent="0.25">
      <c r="A110" s="2" t="s">
        <v>12</v>
      </c>
      <c r="B110" s="2" t="s">
        <v>13</v>
      </c>
      <c r="C110" s="2">
        <v>90267</v>
      </c>
      <c r="D110" s="2" t="s">
        <v>125</v>
      </c>
      <c r="E110" s="2">
        <v>2000</v>
      </c>
      <c r="G110" s="8">
        <v>1.529216795</v>
      </c>
      <c r="H110" s="8">
        <v>0.16331441500000002</v>
      </c>
      <c r="I110" s="8">
        <v>0.57499999999999984</v>
      </c>
      <c r="J110" s="9">
        <f t="shared" si="2"/>
        <v>2.26753121</v>
      </c>
      <c r="K110" s="10">
        <f t="shared" si="3"/>
        <v>4535.0624200000002</v>
      </c>
    </row>
    <row r="111" spans="1:11" x14ac:dyDescent="0.25">
      <c r="A111" s="2" t="s">
        <v>12</v>
      </c>
      <c r="B111" s="2" t="s">
        <v>13</v>
      </c>
      <c r="C111" s="2">
        <v>90268</v>
      </c>
      <c r="D111" s="2" t="s">
        <v>126</v>
      </c>
      <c r="E111" s="2">
        <v>734</v>
      </c>
      <c r="G111" s="8">
        <v>1.529216795</v>
      </c>
      <c r="H111" s="8">
        <v>0.16331441500000002</v>
      </c>
      <c r="I111" s="8">
        <v>0.57499999999999984</v>
      </c>
      <c r="J111" s="9">
        <f t="shared" si="2"/>
        <v>2.26753121</v>
      </c>
      <c r="K111" s="10">
        <f t="shared" si="3"/>
        <v>1664.3679081400001</v>
      </c>
    </row>
    <row r="112" spans="1:11" x14ac:dyDescent="0.25">
      <c r="A112" s="2" t="s">
        <v>12</v>
      </c>
      <c r="B112" s="2" t="s">
        <v>13</v>
      </c>
      <c r="C112" s="2">
        <v>90269</v>
      </c>
      <c r="D112" s="2" t="s">
        <v>127</v>
      </c>
      <c r="E112" s="2">
        <v>1364</v>
      </c>
      <c r="G112" s="8">
        <v>1.38342802</v>
      </c>
      <c r="H112" s="8">
        <v>0.14774474000000001</v>
      </c>
      <c r="I112" s="8">
        <v>0.57499999999999984</v>
      </c>
      <c r="J112" s="9">
        <f t="shared" si="2"/>
        <v>2.1061727599999998</v>
      </c>
      <c r="K112" s="10">
        <f t="shared" si="3"/>
        <v>2872.8196446399998</v>
      </c>
    </row>
    <row r="113" spans="1:11" x14ac:dyDescent="0.25">
      <c r="A113" s="2" t="s">
        <v>12</v>
      </c>
      <c r="B113" s="2" t="s">
        <v>13</v>
      </c>
      <c r="C113" s="2">
        <v>90321</v>
      </c>
      <c r="D113" s="2" t="s">
        <v>128</v>
      </c>
      <c r="E113" s="2">
        <v>0</v>
      </c>
      <c r="G113" s="8">
        <v>1.9055000000000002</v>
      </c>
      <c r="H113" s="8">
        <v>0.20350000000000004</v>
      </c>
      <c r="I113" s="8">
        <v>0.57499999999999984</v>
      </c>
      <c r="J113" s="9">
        <f t="shared" si="2"/>
        <v>2.6840000000000002</v>
      </c>
      <c r="K113" s="10">
        <f t="shared" si="3"/>
        <v>0</v>
      </c>
    </row>
    <row r="114" spans="1:11" x14ac:dyDescent="0.25">
      <c r="A114" s="2" t="s">
        <v>12</v>
      </c>
      <c r="B114" s="2" t="s">
        <v>13</v>
      </c>
      <c r="C114" s="2">
        <v>90322</v>
      </c>
      <c r="D114" s="2" t="s">
        <v>129</v>
      </c>
      <c r="E114" s="2">
        <v>0</v>
      </c>
      <c r="G114" s="8">
        <v>1.7406999999999999</v>
      </c>
      <c r="H114" s="8">
        <v>0.18590000000000001</v>
      </c>
      <c r="I114" s="8">
        <v>0.57499999999999984</v>
      </c>
      <c r="J114" s="9">
        <f t="shared" si="2"/>
        <v>2.5015999999999998</v>
      </c>
      <c r="K114" s="10">
        <f t="shared" si="3"/>
        <v>0</v>
      </c>
    </row>
    <row r="115" spans="1:11" x14ac:dyDescent="0.25">
      <c r="A115" s="2" t="s">
        <v>12</v>
      </c>
      <c r="B115" s="2" t="s">
        <v>13</v>
      </c>
      <c r="C115" s="2">
        <v>90323</v>
      </c>
      <c r="D115" s="2" t="s">
        <v>130</v>
      </c>
      <c r="E115" s="2">
        <v>0</v>
      </c>
      <c r="G115" s="8">
        <v>1.38342802</v>
      </c>
      <c r="H115" s="8">
        <v>0.14774474000000001</v>
      </c>
      <c r="I115" s="8">
        <v>0.57499999999999984</v>
      </c>
      <c r="J115" s="9">
        <f t="shared" si="2"/>
        <v>2.1061727599999998</v>
      </c>
      <c r="K115" s="10">
        <f t="shared" si="3"/>
        <v>0</v>
      </c>
    </row>
    <row r="116" spans="1:11" x14ac:dyDescent="0.25">
      <c r="A116" s="2" t="s">
        <v>12</v>
      </c>
      <c r="B116" s="2" t="s">
        <v>13</v>
      </c>
      <c r="C116" s="2">
        <v>90597</v>
      </c>
      <c r="D116" s="2" t="s">
        <v>131</v>
      </c>
      <c r="E116" s="2">
        <v>2244</v>
      </c>
      <c r="G116" s="8">
        <v>0.66156616413063651</v>
      </c>
      <c r="H116" s="8">
        <v>7.0652697140165074E-2</v>
      </c>
      <c r="I116" s="8">
        <v>1.2649999999999997</v>
      </c>
      <c r="J116" s="9">
        <f t="shared" si="2"/>
        <v>1.9972188612708013</v>
      </c>
      <c r="K116" s="10">
        <f t="shared" si="3"/>
        <v>4481.7591246916782</v>
      </c>
    </row>
    <row r="117" spans="1:11" x14ac:dyDescent="0.25">
      <c r="A117" s="2" t="s">
        <v>12</v>
      </c>
      <c r="B117" s="2" t="s">
        <v>13</v>
      </c>
      <c r="C117" s="2">
        <v>90599</v>
      </c>
      <c r="D117" s="2" t="s">
        <v>132</v>
      </c>
      <c r="E117" s="2">
        <v>1436</v>
      </c>
      <c r="G117" s="8">
        <v>2.5051271788784946</v>
      </c>
      <c r="H117" s="8">
        <v>0.26753785405498487</v>
      </c>
      <c r="I117" s="8">
        <v>1.38</v>
      </c>
      <c r="J117" s="9">
        <f t="shared" si="2"/>
        <v>4.1526650329334789</v>
      </c>
      <c r="K117" s="10">
        <f t="shared" si="3"/>
        <v>5963.2269872924753</v>
      </c>
    </row>
    <row r="118" spans="1:11" x14ac:dyDescent="0.25">
      <c r="A118" s="2" t="s">
        <v>12</v>
      </c>
      <c r="B118" s="2" t="s">
        <v>13</v>
      </c>
      <c r="C118" s="2">
        <v>90600</v>
      </c>
      <c r="D118" s="2" t="s">
        <v>133</v>
      </c>
      <c r="E118" s="2">
        <v>1192</v>
      </c>
      <c r="G118" s="8">
        <v>1.5267266538914568</v>
      </c>
      <c r="H118" s="8">
        <v>0.1630484776000585</v>
      </c>
      <c r="I118" s="8">
        <v>1.38</v>
      </c>
      <c r="J118" s="9">
        <f t="shared" si="2"/>
        <v>3.0697751314915154</v>
      </c>
      <c r="K118" s="10">
        <f t="shared" si="3"/>
        <v>3659.1719567378864</v>
      </c>
    </row>
    <row r="119" spans="1:11" x14ac:dyDescent="0.25">
      <c r="A119" s="2" t="s">
        <v>12</v>
      </c>
      <c r="B119" s="2" t="s">
        <v>13</v>
      </c>
      <c r="C119" s="2">
        <v>90601</v>
      </c>
      <c r="D119" s="2" t="s">
        <v>134</v>
      </c>
      <c r="E119" s="2">
        <v>314</v>
      </c>
      <c r="G119" s="8">
        <v>0.64824884315565179</v>
      </c>
      <c r="H119" s="8">
        <v>6.9230458977788054E-2</v>
      </c>
      <c r="I119" s="8">
        <v>1.1499999999999997</v>
      </c>
      <c r="J119" s="9">
        <f t="shared" si="2"/>
        <v>1.8674793021334395</v>
      </c>
      <c r="K119" s="10">
        <f t="shared" si="3"/>
        <v>586.38850086989999</v>
      </c>
    </row>
    <row r="120" spans="1:11" x14ac:dyDescent="0.25">
      <c r="A120" s="2" t="s">
        <v>12</v>
      </c>
      <c r="B120" s="2" t="s">
        <v>13</v>
      </c>
      <c r="C120" s="2">
        <v>90603</v>
      </c>
      <c r="D120" s="2" t="s">
        <v>135</v>
      </c>
      <c r="E120" s="2">
        <v>240</v>
      </c>
      <c r="G120" s="8">
        <v>3.6693934853423147</v>
      </c>
      <c r="H120" s="8">
        <v>0.39187697416277151</v>
      </c>
      <c r="I120" s="8">
        <v>1.2649999999999997</v>
      </c>
      <c r="J120" s="9">
        <f t="shared" si="2"/>
        <v>5.3262704595050856</v>
      </c>
      <c r="K120" s="10">
        <f t="shared" si="3"/>
        <v>1278.3049102812206</v>
      </c>
    </row>
    <row r="121" spans="1:11" x14ac:dyDescent="0.25">
      <c r="A121" s="2" t="s">
        <v>12</v>
      </c>
      <c r="B121" s="2" t="s">
        <v>13</v>
      </c>
      <c r="C121" s="2">
        <v>90604</v>
      </c>
      <c r="D121" s="2" t="s">
        <v>136</v>
      </c>
      <c r="E121" s="2">
        <v>200</v>
      </c>
      <c r="G121" s="8">
        <v>1.9936414136683407</v>
      </c>
      <c r="H121" s="8">
        <v>0.21291316068302671</v>
      </c>
      <c r="I121" s="8">
        <v>1.2649999999999997</v>
      </c>
      <c r="J121" s="9">
        <f t="shared" si="2"/>
        <v>3.4715545743513672</v>
      </c>
      <c r="K121" s="10">
        <f t="shared" si="3"/>
        <v>694.31091487027345</v>
      </c>
    </row>
    <row r="122" spans="1:11" x14ac:dyDescent="0.25">
      <c r="A122" s="2" t="s">
        <v>12</v>
      </c>
      <c r="B122" s="2" t="s">
        <v>13</v>
      </c>
      <c r="C122" s="2">
        <v>90609</v>
      </c>
      <c r="D122" s="2" t="s">
        <v>137</v>
      </c>
      <c r="E122" s="2">
        <v>1588</v>
      </c>
      <c r="G122" s="8">
        <v>0.68405434202054494</v>
      </c>
      <c r="H122" s="8">
        <v>7.3054347206077633E-2</v>
      </c>
      <c r="I122" s="8">
        <v>1.38</v>
      </c>
      <c r="J122" s="9">
        <f t="shared" si="2"/>
        <v>2.1371086892266224</v>
      </c>
      <c r="K122" s="10">
        <f t="shared" si="3"/>
        <v>3393.7285984918763</v>
      </c>
    </row>
    <row r="123" spans="1:11" x14ac:dyDescent="0.25">
      <c r="A123" s="2" t="s">
        <v>12</v>
      </c>
      <c r="B123" s="2" t="s">
        <v>13</v>
      </c>
      <c r="C123" s="2">
        <v>90610</v>
      </c>
      <c r="D123" s="2" t="s">
        <v>138</v>
      </c>
      <c r="E123" s="2">
        <v>848</v>
      </c>
      <c r="G123" s="8">
        <v>1.1343789299913878</v>
      </c>
      <c r="H123" s="8">
        <v>0.12114726436801231</v>
      </c>
      <c r="I123" s="8">
        <v>1.38</v>
      </c>
      <c r="J123" s="9">
        <f t="shared" si="2"/>
        <v>2.6355261943594002</v>
      </c>
      <c r="K123" s="10">
        <f t="shared" si="3"/>
        <v>2234.9262128167711</v>
      </c>
    </row>
    <row r="124" spans="1:11" x14ac:dyDescent="0.25">
      <c r="A124" s="2" t="s">
        <v>12</v>
      </c>
      <c r="B124" s="2" t="s">
        <v>13</v>
      </c>
      <c r="C124" s="2">
        <v>90611</v>
      </c>
      <c r="D124" s="2" t="s">
        <v>139</v>
      </c>
      <c r="E124" s="2">
        <v>958</v>
      </c>
      <c r="G124" s="8">
        <v>1.6180667836285343</v>
      </c>
      <c r="H124" s="8">
        <v>0.17280324873702796</v>
      </c>
      <c r="I124" s="8">
        <v>1.38</v>
      </c>
      <c r="J124" s="9">
        <f t="shared" si="2"/>
        <v>3.1708700323655621</v>
      </c>
      <c r="K124" s="10">
        <f t="shared" si="3"/>
        <v>3037.6934910062087</v>
      </c>
    </row>
    <row r="125" spans="1:11" x14ac:dyDescent="0.25">
      <c r="A125" s="2" t="s">
        <v>12</v>
      </c>
      <c r="B125" s="2" t="s">
        <v>13</v>
      </c>
      <c r="C125" s="2">
        <v>90612</v>
      </c>
      <c r="D125" s="2" t="s">
        <v>140</v>
      </c>
      <c r="E125" s="2">
        <v>796</v>
      </c>
      <c r="G125" s="8">
        <v>0.7198464385139447</v>
      </c>
      <c r="H125" s="8">
        <v>7.6876804113139727E-2</v>
      </c>
      <c r="I125" s="8">
        <v>0.91999999999999982</v>
      </c>
      <c r="J125" s="9">
        <f t="shared" si="2"/>
        <v>1.7167232426270842</v>
      </c>
      <c r="K125" s="10">
        <f t="shared" si="3"/>
        <v>1366.511701131159</v>
      </c>
    </row>
    <row r="126" spans="1:11" x14ac:dyDescent="0.25">
      <c r="A126" s="2" t="s">
        <v>12</v>
      </c>
      <c r="B126" s="2" t="s">
        <v>13</v>
      </c>
      <c r="C126" s="2">
        <v>90613</v>
      </c>
      <c r="D126" s="2" t="s">
        <v>141</v>
      </c>
      <c r="E126" s="2">
        <v>192</v>
      </c>
      <c r="G126" s="8">
        <v>0.98483238790416849</v>
      </c>
      <c r="H126" s="8">
        <v>0.10517627443636753</v>
      </c>
      <c r="I126" s="8">
        <v>1.2649999999999997</v>
      </c>
      <c r="J126" s="9">
        <f t="shared" si="2"/>
        <v>2.355008662340536</v>
      </c>
      <c r="K126" s="10">
        <f t="shared" si="3"/>
        <v>452.1616631693829</v>
      </c>
    </row>
    <row r="127" spans="1:11" x14ac:dyDescent="0.25">
      <c r="A127" s="2" t="s">
        <v>12</v>
      </c>
      <c r="B127" s="2" t="s">
        <v>13</v>
      </c>
      <c r="C127" s="2">
        <v>90614</v>
      </c>
      <c r="D127" s="2" t="s">
        <v>142</v>
      </c>
      <c r="E127" s="2">
        <v>106</v>
      </c>
      <c r="G127" s="8">
        <v>1.5281756626698544</v>
      </c>
      <c r="H127" s="8">
        <v>0.16320322611037283</v>
      </c>
      <c r="I127" s="8">
        <v>1.2649999999999997</v>
      </c>
      <c r="J127" s="9">
        <f t="shared" si="2"/>
        <v>2.9563788887802271</v>
      </c>
      <c r="K127" s="10">
        <f t="shared" si="3"/>
        <v>313.37616221070408</v>
      </c>
    </row>
    <row r="128" spans="1:11" x14ac:dyDescent="0.25">
      <c r="A128" s="2" t="s">
        <v>12</v>
      </c>
      <c r="B128" s="2" t="s">
        <v>13</v>
      </c>
      <c r="C128" s="2">
        <v>90615</v>
      </c>
      <c r="D128" s="2" t="s">
        <v>143</v>
      </c>
      <c r="E128" s="2">
        <v>120</v>
      </c>
      <c r="G128" s="8">
        <v>2.3831353640281105</v>
      </c>
      <c r="H128" s="8">
        <v>0.25450960198358463</v>
      </c>
      <c r="I128" s="8">
        <v>1.2649999999999997</v>
      </c>
      <c r="J128" s="9">
        <f t="shared" si="2"/>
        <v>3.9026449660116951</v>
      </c>
      <c r="K128" s="10">
        <f t="shared" si="3"/>
        <v>468.31739592140343</v>
      </c>
    </row>
    <row r="129" spans="1:11" x14ac:dyDescent="0.25">
      <c r="A129" s="2" t="s">
        <v>12</v>
      </c>
      <c r="B129" s="2" t="s">
        <v>13</v>
      </c>
      <c r="C129" s="2">
        <v>90616</v>
      </c>
      <c r="D129" s="2" t="s">
        <v>144</v>
      </c>
      <c r="E129" s="2">
        <v>100</v>
      </c>
      <c r="G129" s="8">
        <v>0.73543776775710112</v>
      </c>
      <c r="H129" s="8">
        <v>7.854189752745741E-2</v>
      </c>
      <c r="I129" s="8">
        <v>0.80499999999999994</v>
      </c>
      <c r="J129" s="9">
        <f t="shared" si="2"/>
        <v>1.6189796652845585</v>
      </c>
      <c r="K129" s="10">
        <f t="shared" si="3"/>
        <v>161.89796652845584</v>
      </c>
    </row>
    <row r="130" spans="1:11" x14ac:dyDescent="0.25">
      <c r="A130" s="2" t="s">
        <v>12</v>
      </c>
      <c r="B130" s="2" t="s">
        <v>13</v>
      </c>
      <c r="C130" s="2">
        <v>90655</v>
      </c>
      <c r="D130" s="2" t="s">
        <v>145</v>
      </c>
      <c r="E130" s="2">
        <v>94</v>
      </c>
      <c r="G130" s="8">
        <v>1.2188984772041875</v>
      </c>
      <c r="H130" s="8">
        <v>0.130173623779088</v>
      </c>
      <c r="I130" s="8">
        <v>1.2649999999999997</v>
      </c>
      <c r="J130" s="9">
        <f t="shared" si="2"/>
        <v>2.6140721009832752</v>
      </c>
      <c r="K130" s="10">
        <f t="shared" si="3"/>
        <v>245.72277749242787</v>
      </c>
    </row>
    <row r="131" spans="1:11" x14ac:dyDescent="0.25">
      <c r="A131" s="2" t="s">
        <v>12</v>
      </c>
      <c r="B131" s="2" t="s">
        <v>13</v>
      </c>
      <c r="C131" s="2">
        <v>90704</v>
      </c>
      <c r="D131" s="2" t="s">
        <v>146</v>
      </c>
      <c r="E131" s="2">
        <v>564</v>
      </c>
      <c r="G131" s="8">
        <v>1.1858935168867275</v>
      </c>
      <c r="H131" s="8">
        <v>0.12664882219178644</v>
      </c>
      <c r="I131" s="8">
        <v>1.38</v>
      </c>
      <c r="J131" s="9">
        <f t="shared" ref="J131:J194" si="4">G131+H131+I131</f>
        <v>2.6925423390785141</v>
      </c>
      <c r="K131" s="10">
        <f t="shared" ref="K131:K194" si="5">J131*E131</f>
        <v>1518.5938792402819</v>
      </c>
    </row>
    <row r="132" spans="1:11" x14ac:dyDescent="0.25">
      <c r="A132" s="2" t="s">
        <v>12</v>
      </c>
      <c r="B132" s="2" t="s">
        <v>13</v>
      </c>
      <c r="C132" s="2">
        <v>91571</v>
      </c>
      <c r="D132" s="2" t="s">
        <v>147</v>
      </c>
      <c r="E132" s="2">
        <v>214</v>
      </c>
      <c r="G132" s="8">
        <v>0.61179855739054945</v>
      </c>
      <c r="H132" s="8">
        <v>6.5337710012582956E-2</v>
      </c>
      <c r="I132" s="8">
        <v>0.80499999999999994</v>
      </c>
      <c r="J132" s="9">
        <f t="shared" si="4"/>
        <v>1.4821362674031322</v>
      </c>
      <c r="K132" s="10">
        <f t="shared" si="5"/>
        <v>317.17716122427026</v>
      </c>
    </row>
    <row r="133" spans="1:11" x14ac:dyDescent="0.25">
      <c r="A133" s="2" t="s">
        <v>12</v>
      </c>
      <c r="B133" s="2" t="s">
        <v>13</v>
      </c>
      <c r="C133" s="2">
        <v>91572</v>
      </c>
      <c r="D133" s="2" t="s">
        <v>148</v>
      </c>
      <c r="E133" s="2">
        <v>1640</v>
      </c>
      <c r="G133" s="8">
        <v>0.58264381889135319</v>
      </c>
      <c r="H133" s="8">
        <v>6.2224097163154239E-2</v>
      </c>
      <c r="I133" s="8">
        <v>0.91999999999999982</v>
      </c>
      <c r="J133" s="9">
        <f t="shared" si="4"/>
        <v>1.5648679160545074</v>
      </c>
      <c r="K133" s="10">
        <f t="shared" si="5"/>
        <v>2566.3833823293921</v>
      </c>
    </row>
    <row r="134" spans="1:11" x14ac:dyDescent="0.25">
      <c r="A134" s="2" t="s">
        <v>12</v>
      </c>
      <c r="B134" s="2" t="s">
        <v>13</v>
      </c>
      <c r="C134" s="2">
        <v>91797</v>
      </c>
      <c r="D134" s="2" t="s">
        <v>149</v>
      </c>
      <c r="E134" s="2">
        <v>832</v>
      </c>
      <c r="G134" s="8">
        <v>1.2317791987241742</v>
      </c>
      <c r="H134" s="8">
        <v>0.13154923481520309</v>
      </c>
      <c r="I134" s="8">
        <v>1.38</v>
      </c>
      <c r="J134" s="9">
        <f t="shared" si="4"/>
        <v>2.7433284335393773</v>
      </c>
      <c r="K134" s="10">
        <f t="shared" si="5"/>
        <v>2282.4492567047619</v>
      </c>
    </row>
    <row r="135" spans="1:11" x14ac:dyDescent="0.25">
      <c r="A135" s="2" t="s">
        <v>12</v>
      </c>
      <c r="B135" s="2" t="s">
        <v>13</v>
      </c>
      <c r="C135" s="2">
        <v>91802</v>
      </c>
      <c r="D135" s="2" t="s">
        <v>150</v>
      </c>
      <c r="E135" s="2">
        <v>88</v>
      </c>
      <c r="G135" s="8">
        <v>1.2999474649444123</v>
      </c>
      <c r="H135" s="8">
        <v>0.13882934091639357</v>
      </c>
      <c r="I135" s="8">
        <v>1.2649999999999997</v>
      </c>
      <c r="J135" s="9">
        <f t="shared" si="4"/>
        <v>2.7037768058608056</v>
      </c>
      <c r="K135" s="10">
        <f t="shared" si="5"/>
        <v>237.93235891575088</v>
      </c>
    </row>
    <row r="136" spans="1:11" x14ac:dyDescent="0.25">
      <c r="A136" s="2" t="s">
        <v>151</v>
      </c>
      <c r="B136" s="2" t="s">
        <v>152</v>
      </c>
      <c r="C136" s="2">
        <v>34732</v>
      </c>
      <c r="D136" s="2" t="s">
        <v>153</v>
      </c>
      <c r="E136" s="2">
        <v>11560</v>
      </c>
      <c r="F136" s="2" t="s">
        <v>67</v>
      </c>
      <c r="G136" s="11"/>
      <c r="H136" s="11"/>
      <c r="I136" s="11"/>
      <c r="J136" s="12"/>
      <c r="K136" s="12"/>
    </row>
    <row r="137" spans="1:11" x14ac:dyDescent="0.25">
      <c r="A137" s="2" t="s">
        <v>151</v>
      </c>
      <c r="B137" s="2" t="s">
        <v>152</v>
      </c>
      <c r="C137" s="2">
        <v>60165</v>
      </c>
      <c r="D137" s="2" t="s">
        <v>154</v>
      </c>
      <c r="E137" s="2">
        <v>8092</v>
      </c>
      <c r="F137" s="2" t="s">
        <v>67</v>
      </c>
      <c r="G137" s="11"/>
      <c r="H137" s="11"/>
      <c r="I137" s="11"/>
      <c r="J137" s="12"/>
      <c r="K137" s="12"/>
    </row>
    <row r="138" spans="1:11" x14ac:dyDescent="0.25">
      <c r="A138" s="2" t="s">
        <v>151</v>
      </c>
      <c r="B138" s="2" t="s">
        <v>152</v>
      </c>
      <c r="C138" s="2">
        <v>39725</v>
      </c>
      <c r="D138" s="2" t="s">
        <v>155</v>
      </c>
      <c r="E138" s="2">
        <v>11560</v>
      </c>
      <c r="F138" s="2" t="s">
        <v>67</v>
      </c>
      <c r="G138" s="11"/>
      <c r="H138" s="11"/>
      <c r="I138" s="11"/>
      <c r="J138" s="12"/>
      <c r="K138" s="12"/>
    </row>
    <row r="139" spans="1:11" x14ac:dyDescent="0.25">
      <c r="A139" s="2" t="s">
        <v>151</v>
      </c>
      <c r="B139" s="2" t="s">
        <v>152</v>
      </c>
      <c r="C139" s="2">
        <v>39726</v>
      </c>
      <c r="D139" s="2" t="s">
        <v>156</v>
      </c>
      <c r="E139" s="2">
        <v>9248</v>
      </c>
      <c r="F139" s="2" t="s">
        <v>67</v>
      </c>
      <c r="G139" s="11"/>
      <c r="H139" s="11"/>
      <c r="I139" s="11"/>
      <c r="J139" s="12"/>
      <c r="K139" s="12"/>
    </row>
    <row r="140" spans="1:11" x14ac:dyDescent="0.25">
      <c r="A140" s="2" t="s">
        <v>151</v>
      </c>
      <c r="B140" s="2" t="s">
        <v>152</v>
      </c>
      <c r="C140" s="2">
        <v>41730</v>
      </c>
      <c r="D140" s="2" t="s">
        <v>157</v>
      </c>
      <c r="E140" s="2">
        <v>47396</v>
      </c>
      <c r="F140" s="2" t="s">
        <v>67</v>
      </c>
      <c r="G140" s="11"/>
      <c r="H140" s="11"/>
      <c r="I140" s="11"/>
      <c r="J140" s="12"/>
      <c r="K140" s="12"/>
    </row>
    <row r="141" spans="1:11" x14ac:dyDescent="0.25">
      <c r="A141" s="2" t="s">
        <v>151</v>
      </c>
      <c r="B141" s="2" t="s">
        <v>152</v>
      </c>
      <c r="C141" s="2">
        <v>41731</v>
      </c>
      <c r="D141" s="2" t="s">
        <v>158</v>
      </c>
      <c r="E141" s="2">
        <v>4624</v>
      </c>
      <c r="F141" s="2" t="s">
        <v>67</v>
      </c>
      <c r="G141" s="11"/>
      <c r="H141" s="11"/>
      <c r="I141" s="11"/>
      <c r="J141" s="12"/>
      <c r="K141" s="12"/>
    </row>
    <row r="142" spans="1:11" x14ac:dyDescent="0.25">
      <c r="A142" s="2" t="s">
        <v>151</v>
      </c>
      <c r="B142" s="2" t="s">
        <v>152</v>
      </c>
      <c r="C142" s="2">
        <v>63707</v>
      </c>
      <c r="D142" s="2" t="s">
        <v>159</v>
      </c>
      <c r="E142" s="2">
        <v>9100</v>
      </c>
      <c r="F142" s="2" t="s">
        <v>67</v>
      </c>
      <c r="G142" s="11"/>
      <c r="H142" s="11"/>
      <c r="I142" s="11"/>
      <c r="J142" s="12"/>
      <c r="K142" s="12"/>
    </row>
    <row r="143" spans="1:11" x14ac:dyDescent="0.25">
      <c r="A143" s="2" t="s">
        <v>151</v>
      </c>
      <c r="B143" s="2" t="s">
        <v>152</v>
      </c>
      <c r="C143" s="2">
        <v>75205</v>
      </c>
      <c r="D143" s="2" t="s">
        <v>160</v>
      </c>
      <c r="E143" s="2">
        <v>2312</v>
      </c>
      <c r="F143" s="2" t="s">
        <v>67</v>
      </c>
      <c r="G143" s="11"/>
      <c r="H143" s="11"/>
      <c r="I143" s="11"/>
      <c r="J143" s="12"/>
      <c r="K143" s="12"/>
    </row>
    <row r="144" spans="1:11" x14ac:dyDescent="0.25">
      <c r="A144" s="2" t="s">
        <v>151</v>
      </c>
      <c r="B144" s="2" t="s">
        <v>152</v>
      </c>
      <c r="C144" s="2">
        <v>2334</v>
      </c>
      <c r="D144" s="2" t="s">
        <v>161</v>
      </c>
      <c r="E144" s="2">
        <v>1039</v>
      </c>
      <c r="G144" s="8">
        <v>0.98880000000000001</v>
      </c>
      <c r="H144" s="8">
        <v>0.10560000000000001</v>
      </c>
      <c r="I144" s="8">
        <v>0.13799999999999996</v>
      </c>
      <c r="J144" s="9">
        <f t="shared" si="4"/>
        <v>1.2323999999999999</v>
      </c>
      <c r="K144" s="10">
        <f t="shared" si="5"/>
        <v>1280.4636</v>
      </c>
    </row>
    <row r="145" spans="1:11" x14ac:dyDescent="0.25">
      <c r="A145" s="2" t="s">
        <v>151</v>
      </c>
      <c r="B145" s="2" t="s">
        <v>152</v>
      </c>
      <c r="C145" s="2">
        <v>454</v>
      </c>
      <c r="D145" s="2" t="s">
        <v>162</v>
      </c>
      <c r="E145" s="2">
        <v>6661</v>
      </c>
      <c r="G145" s="8">
        <v>0.49440000000000001</v>
      </c>
      <c r="H145" s="8">
        <v>5.2800000000000007E-2</v>
      </c>
      <c r="I145" s="8">
        <v>9.1999999999999998E-2</v>
      </c>
      <c r="J145" s="9">
        <f t="shared" si="4"/>
        <v>0.63919999999999999</v>
      </c>
      <c r="K145" s="10">
        <f t="shared" si="5"/>
        <v>4257.7111999999997</v>
      </c>
    </row>
    <row r="146" spans="1:11" x14ac:dyDescent="0.25">
      <c r="A146" s="2" t="s">
        <v>151</v>
      </c>
      <c r="B146" s="2" t="s">
        <v>152</v>
      </c>
      <c r="C146" s="2">
        <v>66575</v>
      </c>
      <c r="D146" s="2" t="s">
        <v>163</v>
      </c>
      <c r="E146" s="2">
        <v>2</v>
      </c>
      <c r="G146" s="8">
        <v>0.67980000000000007</v>
      </c>
      <c r="H146" s="8">
        <v>7.2600000000000012E-2</v>
      </c>
      <c r="I146" s="8">
        <v>0.13799999999999996</v>
      </c>
      <c r="J146" s="9">
        <f t="shared" si="4"/>
        <v>0.89040000000000008</v>
      </c>
      <c r="K146" s="10">
        <f t="shared" si="5"/>
        <v>1.7808000000000002</v>
      </c>
    </row>
    <row r="147" spans="1:11" x14ac:dyDescent="0.25">
      <c r="A147" s="2" t="s">
        <v>151</v>
      </c>
      <c r="B147" s="2" t="s">
        <v>152</v>
      </c>
      <c r="C147" s="2">
        <v>86780</v>
      </c>
      <c r="D147" s="2" t="s">
        <v>164</v>
      </c>
      <c r="E147" s="2">
        <v>3468</v>
      </c>
      <c r="G147" s="39">
        <v>0.67980000000000007</v>
      </c>
      <c r="H147" s="39">
        <v>7.2600000000000012E-2</v>
      </c>
      <c r="I147" s="39">
        <v>0.13799999999999996</v>
      </c>
      <c r="J147" s="9">
        <f t="shared" si="4"/>
        <v>0.89040000000000008</v>
      </c>
      <c r="K147" s="10">
        <f t="shared" si="5"/>
        <v>3087.9072000000001</v>
      </c>
    </row>
    <row r="148" spans="1:11" x14ac:dyDescent="0.25">
      <c r="A148" s="2" t="s">
        <v>151</v>
      </c>
      <c r="B148" s="2" t="s">
        <v>152</v>
      </c>
      <c r="C148" s="2">
        <v>955</v>
      </c>
      <c r="D148" s="2" t="s">
        <v>165</v>
      </c>
      <c r="E148" s="2">
        <v>6936</v>
      </c>
      <c r="G148" s="39">
        <v>1.9673000000000003</v>
      </c>
      <c r="H148" s="39">
        <v>0.21010000000000004</v>
      </c>
      <c r="I148" s="39">
        <v>0.27</v>
      </c>
      <c r="J148" s="9">
        <f t="shared" si="4"/>
        <v>2.4474000000000005</v>
      </c>
      <c r="K148" s="10">
        <f t="shared" si="5"/>
        <v>16975.166400000002</v>
      </c>
    </row>
    <row r="149" spans="1:11" x14ac:dyDescent="0.25">
      <c r="A149" s="2" t="s">
        <v>166</v>
      </c>
      <c r="B149" s="2" t="s">
        <v>167</v>
      </c>
      <c r="C149" s="2">
        <v>71842</v>
      </c>
      <c r="D149" s="2" t="s">
        <v>168</v>
      </c>
      <c r="E149" s="2">
        <v>1156</v>
      </c>
      <c r="G149" s="11"/>
      <c r="H149" s="11"/>
      <c r="I149" s="8">
        <v>13.799999999999997</v>
      </c>
      <c r="J149" s="9">
        <f t="shared" si="4"/>
        <v>13.799999999999997</v>
      </c>
      <c r="K149" s="10">
        <f t="shared" si="5"/>
        <v>15952.799999999997</v>
      </c>
    </row>
    <row r="150" spans="1:11" x14ac:dyDescent="0.25">
      <c r="A150" s="2" t="s">
        <v>166</v>
      </c>
      <c r="B150" s="2" t="s">
        <v>167</v>
      </c>
      <c r="C150" s="2">
        <v>71843</v>
      </c>
      <c r="D150" s="2" t="s">
        <v>169</v>
      </c>
      <c r="E150" s="2">
        <v>1156</v>
      </c>
      <c r="G150" s="11"/>
      <c r="H150" s="11"/>
      <c r="I150" s="8">
        <v>13.799999999999997</v>
      </c>
      <c r="J150" s="9">
        <f t="shared" si="4"/>
        <v>13.799999999999997</v>
      </c>
      <c r="K150" s="10">
        <f t="shared" si="5"/>
        <v>15952.799999999997</v>
      </c>
    </row>
    <row r="151" spans="1:11" x14ac:dyDescent="0.25">
      <c r="A151" s="2" t="s">
        <v>170</v>
      </c>
      <c r="B151" s="2" t="s">
        <v>171</v>
      </c>
      <c r="C151" s="2">
        <v>71930</v>
      </c>
      <c r="D151" s="2" t="s">
        <v>172</v>
      </c>
      <c r="E151" s="2">
        <v>21058</v>
      </c>
      <c r="G151" s="11"/>
      <c r="H151" s="11"/>
      <c r="I151" s="8">
        <v>0.91999999999999982</v>
      </c>
      <c r="J151" s="9">
        <f t="shared" si="4"/>
        <v>0.91999999999999982</v>
      </c>
      <c r="K151" s="10">
        <f t="shared" si="5"/>
        <v>19373.359999999997</v>
      </c>
    </row>
    <row r="152" spans="1:11" x14ac:dyDescent="0.25">
      <c r="A152" s="2" t="s">
        <v>170</v>
      </c>
      <c r="B152" s="2" t="s">
        <v>171</v>
      </c>
      <c r="C152" s="2">
        <v>71938</v>
      </c>
      <c r="D152" s="2" t="s">
        <v>173</v>
      </c>
      <c r="E152" s="2">
        <v>1230</v>
      </c>
      <c r="G152" s="11"/>
      <c r="H152" s="11"/>
      <c r="I152" s="8">
        <v>0.91999999999999982</v>
      </c>
      <c r="J152" s="9">
        <f t="shared" si="4"/>
        <v>0.91999999999999982</v>
      </c>
      <c r="K152" s="10">
        <f t="shared" si="5"/>
        <v>1131.5999999999997</v>
      </c>
    </row>
    <row r="153" spans="1:11" x14ac:dyDescent="0.25">
      <c r="A153" s="2" t="s">
        <v>170</v>
      </c>
      <c r="B153" s="2" t="s">
        <v>171</v>
      </c>
      <c r="C153" s="2">
        <v>71942</v>
      </c>
      <c r="D153" s="2" t="s">
        <v>174</v>
      </c>
      <c r="E153" s="2">
        <v>20858</v>
      </c>
      <c r="G153" s="11"/>
      <c r="H153" s="11"/>
      <c r="I153" s="8">
        <v>1.1499999999999997</v>
      </c>
      <c r="J153" s="9">
        <f t="shared" si="4"/>
        <v>1.1499999999999997</v>
      </c>
      <c r="K153" s="10">
        <f t="shared" si="5"/>
        <v>23986.699999999993</v>
      </c>
    </row>
    <row r="154" spans="1:11" x14ac:dyDescent="0.25">
      <c r="A154" s="2" t="s">
        <v>170</v>
      </c>
      <c r="B154" s="2" t="s">
        <v>171</v>
      </c>
      <c r="C154" s="2">
        <v>71946</v>
      </c>
      <c r="D154" s="2" t="s">
        <v>175</v>
      </c>
      <c r="E154" s="2">
        <v>1180</v>
      </c>
      <c r="G154" s="11"/>
      <c r="H154" s="11"/>
      <c r="I154" s="8">
        <v>1.1499999999999997</v>
      </c>
      <c r="J154" s="9">
        <f t="shared" si="4"/>
        <v>1.1499999999999997</v>
      </c>
      <c r="K154" s="10">
        <f t="shared" si="5"/>
        <v>1356.9999999999995</v>
      </c>
    </row>
    <row r="155" spans="1:11" x14ac:dyDescent="0.25">
      <c r="A155" s="2" t="s">
        <v>170</v>
      </c>
      <c r="B155" s="2" t="s">
        <v>171</v>
      </c>
      <c r="C155" s="2">
        <v>71954</v>
      </c>
      <c r="D155" s="2" t="s">
        <v>176</v>
      </c>
      <c r="E155" s="2">
        <v>4868</v>
      </c>
      <c r="G155" s="11"/>
      <c r="H155" s="11"/>
      <c r="I155" s="8">
        <v>0.69</v>
      </c>
      <c r="J155" s="9">
        <f t="shared" si="4"/>
        <v>0.69</v>
      </c>
      <c r="K155" s="10">
        <f t="shared" si="5"/>
        <v>3358.9199999999996</v>
      </c>
    </row>
    <row r="156" spans="1:11" x14ac:dyDescent="0.25">
      <c r="A156" s="2" t="s">
        <v>170</v>
      </c>
      <c r="B156" s="2" t="s">
        <v>171</v>
      </c>
      <c r="C156" s="2">
        <v>71962</v>
      </c>
      <c r="D156" s="2" t="s">
        <v>177</v>
      </c>
      <c r="E156" s="2">
        <v>4860</v>
      </c>
      <c r="G156" s="11"/>
      <c r="H156" s="11"/>
      <c r="I156" s="8">
        <v>0.45999999999999991</v>
      </c>
      <c r="J156" s="9">
        <f t="shared" si="4"/>
        <v>0.45999999999999991</v>
      </c>
      <c r="K156" s="10">
        <f t="shared" si="5"/>
        <v>2235.5999999999995</v>
      </c>
    </row>
    <row r="157" spans="1:11" x14ac:dyDescent="0.25">
      <c r="A157" s="2" t="s">
        <v>170</v>
      </c>
      <c r="B157" s="2" t="s">
        <v>171</v>
      </c>
      <c r="C157" s="2">
        <v>71966</v>
      </c>
      <c r="D157" s="2" t="s">
        <v>178</v>
      </c>
      <c r="E157" s="2">
        <v>7527</v>
      </c>
      <c r="G157" s="11"/>
      <c r="H157" s="11"/>
      <c r="I157" s="8">
        <v>0.91999999999999982</v>
      </c>
      <c r="J157" s="9">
        <f t="shared" si="4"/>
        <v>0.91999999999999982</v>
      </c>
      <c r="K157" s="10">
        <f t="shared" si="5"/>
        <v>6924.8399999999983</v>
      </c>
    </row>
    <row r="158" spans="1:11" x14ac:dyDescent="0.25">
      <c r="A158" s="2" t="s">
        <v>170</v>
      </c>
      <c r="B158" s="2" t="s">
        <v>171</v>
      </c>
      <c r="C158" s="2">
        <v>71967</v>
      </c>
      <c r="D158" s="2" t="s">
        <v>179</v>
      </c>
      <c r="E158" s="2">
        <v>6756</v>
      </c>
      <c r="G158" s="11"/>
      <c r="H158" s="11"/>
      <c r="I158" s="8">
        <v>1.0349999999999999</v>
      </c>
      <c r="J158" s="9">
        <f t="shared" si="4"/>
        <v>1.0349999999999999</v>
      </c>
      <c r="K158" s="10">
        <f t="shared" si="5"/>
        <v>6992.4599999999991</v>
      </c>
    </row>
    <row r="159" spans="1:11" x14ac:dyDescent="0.25">
      <c r="A159" s="2" t="s">
        <v>170</v>
      </c>
      <c r="B159" s="2" t="s">
        <v>171</v>
      </c>
      <c r="C159" s="2">
        <v>71968</v>
      </c>
      <c r="D159" s="2" t="s">
        <v>180</v>
      </c>
      <c r="E159" s="2">
        <v>8735</v>
      </c>
      <c r="G159" s="11"/>
      <c r="H159" s="11"/>
      <c r="I159" s="8">
        <v>1.0349999999999999</v>
      </c>
      <c r="J159" s="9">
        <f t="shared" si="4"/>
        <v>1.0349999999999999</v>
      </c>
      <c r="K159" s="10">
        <f t="shared" si="5"/>
        <v>9040.7249999999985</v>
      </c>
    </row>
    <row r="160" spans="1:11" x14ac:dyDescent="0.25">
      <c r="A160" s="2" t="s">
        <v>181</v>
      </c>
      <c r="B160" s="2" t="s">
        <v>182</v>
      </c>
      <c r="C160" s="2">
        <v>71892</v>
      </c>
      <c r="D160" s="2" t="s">
        <v>183</v>
      </c>
      <c r="E160" s="2">
        <v>6339</v>
      </c>
      <c r="G160" s="11"/>
      <c r="H160" s="11"/>
      <c r="I160" s="8">
        <v>1.38</v>
      </c>
      <c r="J160" s="9">
        <f t="shared" si="4"/>
        <v>1.38</v>
      </c>
      <c r="K160" s="10">
        <f t="shared" si="5"/>
        <v>8747.82</v>
      </c>
    </row>
    <row r="161" spans="1:11" x14ac:dyDescent="0.25">
      <c r="A161" s="2" t="s">
        <v>181</v>
      </c>
      <c r="B161" s="2" t="s">
        <v>182</v>
      </c>
      <c r="C161" s="2">
        <v>71893</v>
      </c>
      <c r="D161" s="2" t="s">
        <v>184</v>
      </c>
      <c r="E161" s="2">
        <v>12700</v>
      </c>
      <c r="G161" s="11"/>
      <c r="H161" s="11"/>
      <c r="I161" s="8">
        <v>1.38</v>
      </c>
      <c r="J161" s="9">
        <f t="shared" si="4"/>
        <v>1.38</v>
      </c>
      <c r="K161" s="10">
        <f t="shared" si="5"/>
        <v>17526</v>
      </c>
    </row>
    <row r="162" spans="1:11" x14ac:dyDescent="0.25">
      <c r="A162" s="2" t="s">
        <v>181</v>
      </c>
      <c r="B162" s="2" t="s">
        <v>182</v>
      </c>
      <c r="C162" s="2">
        <v>71894</v>
      </c>
      <c r="D162" s="2" t="s">
        <v>185</v>
      </c>
      <c r="E162" s="2">
        <v>3225</v>
      </c>
      <c r="G162" s="11"/>
      <c r="H162" s="11"/>
      <c r="I162" s="8">
        <v>1.38</v>
      </c>
      <c r="J162" s="9">
        <f t="shared" si="4"/>
        <v>1.38</v>
      </c>
      <c r="K162" s="10">
        <f t="shared" si="5"/>
        <v>4450.5</v>
      </c>
    </row>
    <row r="163" spans="1:11" x14ac:dyDescent="0.25">
      <c r="A163" s="2" t="s">
        <v>186</v>
      </c>
      <c r="B163" s="2" t="s">
        <v>187</v>
      </c>
      <c r="C163" s="2">
        <v>72011</v>
      </c>
      <c r="D163" s="2" t="s">
        <v>188</v>
      </c>
      <c r="E163" s="2">
        <v>9526</v>
      </c>
      <c r="G163" s="11"/>
      <c r="H163" s="11"/>
      <c r="I163" s="8">
        <v>0.82799999999999974</v>
      </c>
      <c r="J163" s="9">
        <f t="shared" si="4"/>
        <v>0.82799999999999974</v>
      </c>
      <c r="K163" s="10">
        <f t="shared" si="5"/>
        <v>7887.5279999999975</v>
      </c>
    </row>
    <row r="164" spans="1:11" x14ac:dyDescent="0.25">
      <c r="A164" s="2" t="s">
        <v>189</v>
      </c>
      <c r="B164" s="2" t="s">
        <v>190</v>
      </c>
      <c r="C164" s="2">
        <v>72039</v>
      </c>
      <c r="D164" s="2" t="s">
        <v>191</v>
      </c>
      <c r="E164" s="2">
        <v>10404</v>
      </c>
      <c r="G164" s="11"/>
      <c r="H164" s="11"/>
      <c r="I164" s="8">
        <v>1.38</v>
      </c>
      <c r="J164" s="9">
        <f t="shared" si="4"/>
        <v>1.38</v>
      </c>
      <c r="K164" s="10">
        <f t="shared" si="5"/>
        <v>14357.519999999999</v>
      </c>
    </row>
    <row r="165" spans="1:11" x14ac:dyDescent="0.25">
      <c r="A165" s="2" t="s">
        <v>189</v>
      </c>
      <c r="B165" s="2" t="s">
        <v>190</v>
      </c>
      <c r="C165" s="2">
        <v>72042</v>
      </c>
      <c r="D165" s="2" t="s">
        <v>192</v>
      </c>
      <c r="E165" s="2">
        <v>4507</v>
      </c>
      <c r="G165" s="11"/>
      <c r="H165" s="11"/>
      <c r="I165" s="8">
        <v>1.8399999999999996</v>
      </c>
      <c r="J165" s="9">
        <f t="shared" si="4"/>
        <v>1.8399999999999996</v>
      </c>
      <c r="K165" s="10">
        <f t="shared" si="5"/>
        <v>8292.8799999999992</v>
      </c>
    </row>
    <row r="166" spans="1:11" x14ac:dyDescent="0.25">
      <c r="A166" s="2" t="s">
        <v>189</v>
      </c>
      <c r="B166" s="2" t="s">
        <v>190</v>
      </c>
      <c r="C166" s="2">
        <v>72045</v>
      </c>
      <c r="D166" s="2" t="s">
        <v>193</v>
      </c>
      <c r="E166" s="2">
        <v>101</v>
      </c>
      <c r="G166" s="11"/>
      <c r="H166" s="11"/>
      <c r="I166" s="8">
        <v>1.38</v>
      </c>
      <c r="J166" s="9">
        <f t="shared" si="4"/>
        <v>1.38</v>
      </c>
      <c r="K166" s="10">
        <f t="shared" si="5"/>
        <v>139.38</v>
      </c>
    </row>
    <row r="167" spans="1:11" x14ac:dyDescent="0.25">
      <c r="A167" s="2" t="s">
        <v>189</v>
      </c>
      <c r="B167" s="2" t="s">
        <v>190</v>
      </c>
      <c r="C167" s="2">
        <v>83710</v>
      </c>
      <c r="D167" s="2" t="s">
        <v>194</v>
      </c>
      <c r="E167" s="2">
        <v>799</v>
      </c>
      <c r="G167" s="11"/>
      <c r="H167" s="11"/>
      <c r="I167" s="8">
        <v>1.0349999999999999</v>
      </c>
      <c r="J167" s="9">
        <f t="shared" si="4"/>
        <v>1.0349999999999999</v>
      </c>
      <c r="K167" s="10">
        <f t="shared" si="5"/>
        <v>826.96499999999992</v>
      </c>
    </row>
    <row r="168" spans="1:11" x14ac:dyDescent="0.25">
      <c r="A168" s="2" t="s">
        <v>189</v>
      </c>
      <c r="B168" s="2" t="s">
        <v>190</v>
      </c>
      <c r="C168" s="2">
        <v>72051</v>
      </c>
      <c r="D168" s="2" t="s">
        <v>195</v>
      </c>
      <c r="E168" s="2">
        <v>2312</v>
      </c>
      <c r="G168" s="11"/>
      <c r="H168" s="11"/>
      <c r="I168" s="8">
        <v>1.38</v>
      </c>
      <c r="J168" s="9">
        <f t="shared" si="4"/>
        <v>1.38</v>
      </c>
      <c r="K168" s="10">
        <f t="shared" si="5"/>
        <v>3190.56</v>
      </c>
    </row>
    <row r="169" spans="1:11" x14ac:dyDescent="0.25">
      <c r="A169" s="2" t="s">
        <v>189</v>
      </c>
      <c r="B169" s="2" t="s">
        <v>190</v>
      </c>
      <c r="C169" s="2">
        <v>72052</v>
      </c>
      <c r="D169" s="2" t="s">
        <v>196</v>
      </c>
      <c r="E169" s="2">
        <v>19652</v>
      </c>
      <c r="G169" s="11"/>
      <c r="H169" s="11"/>
      <c r="I169" s="8">
        <v>0.82799999999999974</v>
      </c>
      <c r="J169" s="9">
        <f t="shared" si="4"/>
        <v>0.82799999999999974</v>
      </c>
      <c r="K169" s="10">
        <f t="shared" si="5"/>
        <v>16271.855999999994</v>
      </c>
    </row>
    <row r="170" spans="1:11" x14ac:dyDescent="0.25">
      <c r="A170" s="2" t="s">
        <v>189</v>
      </c>
      <c r="B170" s="2" t="s">
        <v>190</v>
      </c>
      <c r="C170" s="2">
        <v>77666</v>
      </c>
      <c r="D170" s="2" t="s">
        <v>197</v>
      </c>
      <c r="E170" s="2">
        <v>501</v>
      </c>
      <c r="G170" s="11"/>
      <c r="H170" s="11"/>
      <c r="I170" s="8">
        <v>2.2999999999999994</v>
      </c>
      <c r="J170" s="9">
        <f t="shared" si="4"/>
        <v>2.2999999999999994</v>
      </c>
      <c r="K170" s="10">
        <f t="shared" si="5"/>
        <v>1152.2999999999997</v>
      </c>
    </row>
    <row r="171" spans="1:11" x14ac:dyDescent="0.25">
      <c r="A171" s="2" t="s">
        <v>189</v>
      </c>
      <c r="B171" s="2" t="s">
        <v>190</v>
      </c>
      <c r="C171" s="2">
        <v>77667</v>
      </c>
      <c r="D171" s="2" t="s">
        <v>198</v>
      </c>
      <c r="E171" s="2">
        <v>501</v>
      </c>
      <c r="G171" s="11"/>
      <c r="H171" s="11"/>
      <c r="I171" s="8">
        <v>2.2999999999999994</v>
      </c>
      <c r="J171" s="9">
        <f t="shared" si="4"/>
        <v>2.2999999999999994</v>
      </c>
      <c r="K171" s="10">
        <f t="shared" si="5"/>
        <v>1152.2999999999997</v>
      </c>
    </row>
    <row r="172" spans="1:11" x14ac:dyDescent="0.25">
      <c r="A172" s="2" t="s">
        <v>199</v>
      </c>
      <c r="B172" s="2" t="s">
        <v>200</v>
      </c>
      <c r="C172" s="2">
        <v>72168</v>
      </c>
      <c r="D172" s="2" t="s">
        <v>201</v>
      </c>
      <c r="E172" s="2">
        <v>90</v>
      </c>
      <c r="G172" s="11"/>
      <c r="H172" s="11"/>
      <c r="I172" s="8">
        <v>10.579999999999998</v>
      </c>
      <c r="J172" s="9">
        <f t="shared" si="4"/>
        <v>10.579999999999998</v>
      </c>
      <c r="K172" s="10">
        <f t="shared" si="5"/>
        <v>952.19999999999982</v>
      </c>
    </row>
    <row r="173" spans="1:11" x14ac:dyDescent="0.25">
      <c r="A173" s="2" t="s">
        <v>199</v>
      </c>
      <c r="B173" s="2" t="s">
        <v>200</v>
      </c>
      <c r="C173" s="2">
        <v>72188</v>
      </c>
      <c r="D173" s="2" t="s">
        <v>202</v>
      </c>
      <c r="E173" s="2">
        <v>90</v>
      </c>
      <c r="G173" s="11"/>
      <c r="H173" s="11"/>
      <c r="I173" s="8">
        <v>10.579999999999998</v>
      </c>
      <c r="J173" s="9">
        <f t="shared" si="4"/>
        <v>10.579999999999998</v>
      </c>
      <c r="K173" s="10">
        <f t="shared" si="5"/>
        <v>952.19999999999982</v>
      </c>
    </row>
    <row r="174" spans="1:11" x14ac:dyDescent="0.25">
      <c r="A174" s="2" t="s">
        <v>199</v>
      </c>
      <c r="B174" s="2" t="s">
        <v>200</v>
      </c>
      <c r="C174" s="2">
        <v>72197</v>
      </c>
      <c r="D174" s="2" t="s">
        <v>203</v>
      </c>
      <c r="E174" s="2">
        <v>9</v>
      </c>
      <c r="G174" s="11"/>
      <c r="H174" s="11"/>
      <c r="I174" s="8">
        <v>10.579999999999998</v>
      </c>
      <c r="J174" s="9">
        <f t="shared" si="4"/>
        <v>10.579999999999998</v>
      </c>
      <c r="K174" s="10">
        <f t="shared" si="5"/>
        <v>95.219999999999985</v>
      </c>
    </row>
    <row r="175" spans="1:11" x14ac:dyDescent="0.25">
      <c r="A175" s="2" t="s">
        <v>199</v>
      </c>
      <c r="B175" s="2" t="s">
        <v>200</v>
      </c>
      <c r="C175" s="2">
        <v>72206</v>
      </c>
      <c r="D175" s="2" t="s">
        <v>204</v>
      </c>
      <c r="E175" s="2">
        <v>9</v>
      </c>
      <c r="G175" s="11"/>
      <c r="H175" s="11"/>
      <c r="I175" s="8">
        <v>10.579999999999998</v>
      </c>
      <c r="J175" s="9">
        <f t="shared" si="4"/>
        <v>10.579999999999998</v>
      </c>
      <c r="K175" s="10">
        <f t="shared" si="5"/>
        <v>95.219999999999985</v>
      </c>
    </row>
    <row r="176" spans="1:11" x14ac:dyDescent="0.25">
      <c r="A176" s="2" t="s">
        <v>199</v>
      </c>
      <c r="B176" s="2" t="s">
        <v>200</v>
      </c>
      <c r="C176" s="2">
        <v>72212</v>
      </c>
      <c r="D176" s="2" t="s">
        <v>205</v>
      </c>
      <c r="E176" s="2">
        <v>25</v>
      </c>
      <c r="G176" s="11"/>
      <c r="H176" s="11"/>
      <c r="I176" s="8">
        <v>10.579999999999998</v>
      </c>
      <c r="J176" s="9">
        <f t="shared" si="4"/>
        <v>10.579999999999998</v>
      </c>
      <c r="K176" s="10">
        <f t="shared" si="5"/>
        <v>264.49999999999994</v>
      </c>
    </row>
    <row r="177" spans="1:11" x14ac:dyDescent="0.25">
      <c r="A177" s="2" t="s">
        <v>199</v>
      </c>
      <c r="B177" s="2" t="s">
        <v>200</v>
      </c>
      <c r="C177" s="2">
        <v>72214</v>
      </c>
      <c r="D177" s="2" t="s">
        <v>206</v>
      </c>
      <c r="E177" s="2">
        <v>777</v>
      </c>
      <c r="G177" s="11"/>
      <c r="H177" s="11"/>
      <c r="I177" s="8">
        <v>10.579999999999998</v>
      </c>
      <c r="J177" s="9">
        <f t="shared" si="4"/>
        <v>10.579999999999998</v>
      </c>
      <c r="K177" s="10">
        <f t="shared" si="5"/>
        <v>8220.659999999998</v>
      </c>
    </row>
    <row r="178" spans="1:11" x14ac:dyDescent="0.25">
      <c r="A178" s="2" t="s">
        <v>199</v>
      </c>
      <c r="B178" s="2" t="s">
        <v>200</v>
      </c>
      <c r="C178" s="2">
        <v>72224</v>
      </c>
      <c r="D178" s="2" t="s">
        <v>207</v>
      </c>
      <c r="E178" s="2">
        <v>802</v>
      </c>
      <c r="G178" s="11"/>
      <c r="H178" s="11"/>
      <c r="I178" s="8">
        <v>10.579999999999998</v>
      </c>
      <c r="J178" s="9">
        <f t="shared" si="4"/>
        <v>10.579999999999998</v>
      </c>
      <c r="K178" s="10">
        <f t="shared" si="5"/>
        <v>8485.159999999998</v>
      </c>
    </row>
    <row r="179" spans="1:11" x14ac:dyDescent="0.25">
      <c r="A179" s="2" t="s">
        <v>199</v>
      </c>
      <c r="B179" s="2" t="s">
        <v>200</v>
      </c>
      <c r="C179" s="2">
        <v>72535</v>
      </c>
      <c r="D179" s="2" t="s">
        <v>208</v>
      </c>
      <c r="E179" s="2">
        <v>2</v>
      </c>
      <c r="G179" s="11"/>
      <c r="H179" s="11"/>
      <c r="I179" s="8">
        <v>10.579999999999998</v>
      </c>
      <c r="J179" s="9">
        <f t="shared" si="4"/>
        <v>10.579999999999998</v>
      </c>
      <c r="K179" s="10">
        <f t="shared" si="5"/>
        <v>21.159999999999997</v>
      </c>
    </row>
    <row r="180" spans="1:11" x14ac:dyDescent="0.25">
      <c r="A180" s="2" t="s">
        <v>199</v>
      </c>
      <c r="B180" s="2" t="s">
        <v>200</v>
      </c>
      <c r="C180" s="2">
        <v>72544</v>
      </c>
      <c r="D180" s="2" t="s">
        <v>209</v>
      </c>
      <c r="E180" s="2">
        <v>253</v>
      </c>
      <c r="G180" s="11"/>
      <c r="H180" s="11"/>
      <c r="I180" s="8">
        <v>10.579999999999998</v>
      </c>
      <c r="J180" s="9">
        <f t="shared" si="4"/>
        <v>10.579999999999998</v>
      </c>
      <c r="K180" s="10">
        <f t="shared" si="5"/>
        <v>2676.74</v>
      </c>
    </row>
    <row r="181" spans="1:11" x14ac:dyDescent="0.25">
      <c r="A181" s="2" t="s">
        <v>199</v>
      </c>
      <c r="B181" s="2" t="s">
        <v>200</v>
      </c>
      <c r="C181" s="2">
        <v>72554</v>
      </c>
      <c r="D181" s="2" t="s">
        <v>210</v>
      </c>
      <c r="E181" s="2">
        <v>255</v>
      </c>
      <c r="G181" s="11"/>
      <c r="H181" s="11"/>
      <c r="I181" s="8">
        <v>10.579999999999998</v>
      </c>
      <c r="J181" s="9">
        <f t="shared" si="4"/>
        <v>10.579999999999998</v>
      </c>
      <c r="K181" s="10">
        <f t="shared" si="5"/>
        <v>2697.8999999999996</v>
      </c>
    </row>
    <row r="182" spans="1:11" x14ac:dyDescent="0.25">
      <c r="A182" s="2" t="s">
        <v>199</v>
      </c>
      <c r="B182" s="2" t="s">
        <v>200</v>
      </c>
      <c r="C182" s="2">
        <v>77662</v>
      </c>
      <c r="D182" s="2" t="s">
        <v>211</v>
      </c>
      <c r="E182" s="2">
        <v>501</v>
      </c>
      <c r="G182" s="11"/>
      <c r="H182" s="11"/>
      <c r="I182" s="8">
        <v>10.579999999999998</v>
      </c>
      <c r="J182" s="9">
        <f t="shared" si="4"/>
        <v>10.579999999999998</v>
      </c>
      <c r="K182" s="10">
        <f t="shared" si="5"/>
        <v>5300.579999999999</v>
      </c>
    </row>
    <row r="183" spans="1:11" x14ac:dyDescent="0.25">
      <c r="A183" s="2" t="s">
        <v>212</v>
      </c>
      <c r="B183" s="2" t="s">
        <v>213</v>
      </c>
      <c r="C183" s="2">
        <v>72186</v>
      </c>
      <c r="D183" s="2" t="s">
        <v>214</v>
      </c>
      <c r="E183" s="2">
        <v>90</v>
      </c>
      <c r="G183" s="11"/>
      <c r="H183" s="11"/>
      <c r="I183" s="8">
        <v>10.579999999999998</v>
      </c>
      <c r="J183" s="9">
        <f t="shared" si="4"/>
        <v>10.579999999999998</v>
      </c>
      <c r="K183" s="10">
        <f t="shared" si="5"/>
        <v>952.19999999999982</v>
      </c>
    </row>
    <row r="184" spans="1:11" x14ac:dyDescent="0.25">
      <c r="A184" s="2" t="s">
        <v>212</v>
      </c>
      <c r="B184" s="2" t="s">
        <v>213</v>
      </c>
      <c r="C184" s="2">
        <v>72218</v>
      </c>
      <c r="D184" s="2" t="s">
        <v>215</v>
      </c>
      <c r="E184" s="2">
        <v>90</v>
      </c>
      <c r="G184" s="11"/>
      <c r="H184" s="11"/>
      <c r="I184" s="8">
        <v>10.579999999999998</v>
      </c>
      <c r="J184" s="9">
        <f t="shared" si="4"/>
        <v>10.579999999999998</v>
      </c>
      <c r="K184" s="10">
        <f t="shared" si="5"/>
        <v>952.19999999999982</v>
      </c>
    </row>
    <row r="185" spans="1:11" x14ac:dyDescent="0.25">
      <c r="A185" s="2" t="s">
        <v>212</v>
      </c>
      <c r="B185" s="2" t="s">
        <v>213</v>
      </c>
      <c r="C185" s="2">
        <v>72219</v>
      </c>
      <c r="D185" s="2" t="s">
        <v>216</v>
      </c>
      <c r="E185" s="2">
        <v>9</v>
      </c>
      <c r="G185" s="11"/>
      <c r="H185" s="11"/>
      <c r="I185" s="8">
        <v>10.579999999999998</v>
      </c>
      <c r="J185" s="9">
        <f t="shared" si="4"/>
        <v>10.579999999999998</v>
      </c>
      <c r="K185" s="10">
        <f t="shared" si="5"/>
        <v>95.219999999999985</v>
      </c>
    </row>
    <row r="186" spans="1:11" x14ac:dyDescent="0.25">
      <c r="A186" s="2" t="s">
        <v>212</v>
      </c>
      <c r="B186" s="2" t="s">
        <v>213</v>
      </c>
      <c r="C186" s="2">
        <v>72253</v>
      </c>
      <c r="D186" s="2" t="s">
        <v>217</v>
      </c>
      <c r="E186" s="2">
        <v>9</v>
      </c>
      <c r="G186" s="11"/>
      <c r="H186" s="11"/>
      <c r="I186" s="8">
        <v>10.579999999999998</v>
      </c>
      <c r="J186" s="9">
        <f t="shared" si="4"/>
        <v>10.579999999999998</v>
      </c>
      <c r="K186" s="10">
        <f t="shared" si="5"/>
        <v>95.219999999999985</v>
      </c>
    </row>
    <row r="187" spans="1:11" x14ac:dyDescent="0.25">
      <c r="A187" s="2" t="s">
        <v>212</v>
      </c>
      <c r="B187" s="2" t="s">
        <v>213</v>
      </c>
      <c r="C187" s="2">
        <v>72254</v>
      </c>
      <c r="D187" s="2" t="s">
        <v>218</v>
      </c>
      <c r="E187" s="2">
        <v>777</v>
      </c>
      <c r="G187" s="11"/>
      <c r="H187" s="11"/>
      <c r="I187" s="8">
        <v>10.579999999999998</v>
      </c>
      <c r="J187" s="9">
        <f t="shared" si="4"/>
        <v>10.579999999999998</v>
      </c>
      <c r="K187" s="10">
        <f t="shared" si="5"/>
        <v>8220.659999999998</v>
      </c>
    </row>
    <row r="188" spans="1:11" x14ac:dyDescent="0.25">
      <c r="A188" s="2" t="s">
        <v>212</v>
      </c>
      <c r="B188" s="2" t="s">
        <v>213</v>
      </c>
      <c r="C188" s="2">
        <v>72257</v>
      </c>
      <c r="D188" s="2" t="s">
        <v>219</v>
      </c>
      <c r="E188" s="2">
        <v>25</v>
      </c>
      <c r="G188" s="11"/>
      <c r="H188" s="11"/>
      <c r="I188" s="8">
        <v>6.8999999999999986</v>
      </c>
      <c r="J188" s="9">
        <f t="shared" si="4"/>
        <v>6.8999999999999986</v>
      </c>
      <c r="K188" s="10">
        <f t="shared" si="5"/>
        <v>172.49999999999997</v>
      </c>
    </row>
    <row r="189" spans="1:11" x14ac:dyDescent="0.25">
      <c r="A189" s="2" t="s">
        <v>212</v>
      </c>
      <c r="B189" s="2" t="s">
        <v>213</v>
      </c>
      <c r="C189" s="2">
        <v>72269</v>
      </c>
      <c r="D189" s="2" t="s">
        <v>220</v>
      </c>
      <c r="E189" s="2">
        <v>802</v>
      </c>
      <c r="G189" s="11"/>
      <c r="H189" s="11"/>
      <c r="I189" s="8">
        <v>10.579999999999998</v>
      </c>
      <c r="J189" s="9">
        <f t="shared" si="4"/>
        <v>10.579999999999998</v>
      </c>
      <c r="K189" s="10">
        <f t="shared" si="5"/>
        <v>8485.159999999998</v>
      </c>
    </row>
    <row r="190" spans="1:11" x14ac:dyDescent="0.25">
      <c r="A190" s="2" t="s">
        <v>212</v>
      </c>
      <c r="B190" s="2" t="s">
        <v>213</v>
      </c>
      <c r="C190" s="2">
        <v>72318</v>
      </c>
      <c r="D190" s="2" t="s">
        <v>221</v>
      </c>
      <c r="E190" s="2">
        <v>253</v>
      </c>
      <c r="G190" s="11"/>
      <c r="H190" s="11"/>
      <c r="I190" s="8">
        <v>10.579999999999998</v>
      </c>
      <c r="J190" s="9">
        <f t="shared" si="4"/>
        <v>10.579999999999998</v>
      </c>
      <c r="K190" s="10">
        <f t="shared" si="5"/>
        <v>2676.74</v>
      </c>
    </row>
    <row r="191" spans="1:11" x14ac:dyDescent="0.25">
      <c r="A191" s="2" t="s">
        <v>212</v>
      </c>
      <c r="B191" s="2" t="s">
        <v>213</v>
      </c>
      <c r="C191" s="2">
        <v>72321</v>
      </c>
      <c r="D191" s="2" t="s">
        <v>222</v>
      </c>
      <c r="E191" s="2">
        <v>2</v>
      </c>
      <c r="G191" s="11"/>
      <c r="H191" s="11"/>
      <c r="I191" s="8">
        <v>6.8999999999999986</v>
      </c>
      <c r="J191" s="9">
        <f t="shared" si="4"/>
        <v>6.8999999999999986</v>
      </c>
      <c r="K191" s="10">
        <f t="shared" si="5"/>
        <v>13.799999999999997</v>
      </c>
    </row>
    <row r="192" spans="1:11" x14ac:dyDescent="0.25">
      <c r="A192" s="2" t="s">
        <v>212</v>
      </c>
      <c r="B192" s="2" t="s">
        <v>213</v>
      </c>
      <c r="C192" s="2">
        <v>72333</v>
      </c>
      <c r="D192" s="2" t="s">
        <v>223</v>
      </c>
      <c r="E192" s="2">
        <v>255</v>
      </c>
      <c r="G192" s="11"/>
      <c r="H192" s="11"/>
      <c r="I192" s="8">
        <v>10.579999999999998</v>
      </c>
      <c r="J192" s="9">
        <f t="shared" si="4"/>
        <v>10.579999999999998</v>
      </c>
      <c r="K192" s="10">
        <f t="shared" si="5"/>
        <v>2697.8999999999996</v>
      </c>
    </row>
    <row r="193" spans="1:11" x14ac:dyDescent="0.25">
      <c r="A193" s="2" t="s">
        <v>224</v>
      </c>
      <c r="B193" s="2" t="s">
        <v>225</v>
      </c>
      <c r="C193" s="2">
        <v>72514</v>
      </c>
      <c r="D193" s="2" t="s">
        <v>226</v>
      </c>
      <c r="E193" s="2">
        <v>90</v>
      </c>
      <c r="G193" s="11"/>
      <c r="H193" s="11"/>
      <c r="I193" s="8">
        <v>14.618799999999998</v>
      </c>
      <c r="J193" s="9">
        <f t="shared" si="4"/>
        <v>14.618799999999998</v>
      </c>
      <c r="K193" s="10">
        <f t="shared" si="5"/>
        <v>1315.6919999999998</v>
      </c>
    </row>
    <row r="194" spans="1:11" x14ac:dyDescent="0.25">
      <c r="A194" s="2" t="s">
        <v>224</v>
      </c>
      <c r="B194" s="2" t="s">
        <v>225</v>
      </c>
      <c r="C194" s="2">
        <v>72519</v>
      </c>
      <c r="D194" s="2" t="s">
        <v>227</v>
      </c>
      <c r="E194" s="2">
        <v>90</v>
      </c>
      <c r="G194" s="11"/>
      <c r="H194" s="11"/>
      <c r="I194" s="8">
        <v>14.618799999999998</v>
      </c>
      <c r="J194" s="9">
        <f t="shared" si="4"/>
        <v>14.618799999999998</v>
      </c>
      <c r="K194" s="10">
        <f t="shared" si="5"/>
        <v>1315.6919999999998</v>
      </c>
    </row>
    <row r="195" spans="1:11" x14ac:dyDescent="0.25">
      <c r="A195" s="2" t="s">
        <v>224</v>
      </c>
      <c r="B195" s="2" t="s">
        <v>225</v>
      </c>
      <c r="C195" s="2">
        <v>72521</v>
      </c>
      <c r="D195" s="2" t="s">
        <v>228</v>
      </c>
      <c r="E195" s="2">
        <v>9</v>
      </c>
      <c r="G195" s="11"/>
      <c r="H195" s="11"/>
      <c r="I195" s="8">
        <v>14.618799999999998</v>
      </c>
      <c r="J195" s="9">
        <f t="shared" ref="J195:J233" si="6">G195+H195+I195</f>
        <v>14.618799999999998</v>
      </c>
      <c r="K195" s="10">
        <f t="shared" ref="K195:K233" si="7">J195*E195</f>
        <v>131.5692</v>
      </c>
    </row>
    <row r="196" spans="1:11" x14ac:dyDescent="0.25">
      <c r="A196" s="2" t="s">
        <v>224</v>
      </c>
      <c r="B196" s="2" t="s">
        <v>225</v>
      </c>
      <c r="C196" s="2">
        <v>72527</v>
      </c>
      <c r="D196" s="2" t="s">
        <v>229</v>
      </c>
      <c r="E196" s="2">
        <v>9</v>
      </c>
      <c r="G196" s="11"/>
      <c r="H196" s="11"/>
      <c r="I196" s="8">
        <v>14.618799999999998</v>
      </c>
      <c r="J196" s="9">
        <f t="shared" si="6"/>
        <v>14.618799999999998</v>
      </c>
      <c r="K196" s="10">
        <f t="shared" si="7"/>
        <v>131.5692</v>
      </c>
    </row>
    <row r="197" spans="1:11" x14ac:dyDescent="0.25">
      <c r="A197" s="2" t="s">
        <v>224</v>
      </c>
      <c r="B197" s="2" t="s">
        <v>225</v>
      </c>
      <c r="C197" s="2">
        <v>72529</v>
      </c>
      <c r="D197" s="2" t="s">
        <v>230</v>
      </c>
      <c r="E197" s="2">
        <v>802</v>
      </c>
      <c r="G197" s="11"/>
      <c r="H197" s="11"/>
      <c r="I197" s="8">
        <v>14.618799999999998</v>
      </c>
      <c r="J197" s="9">
        <f t="shared" si="6"/>
        <v>14.618799999999998</v>
      </c>
      <c r="K197" s="10">
        <f t="shared" si="7"/>
        <v>11724.277599999999</v>
      </c>
    </row>
    <row r="198" spans="1:11" x14ac:dyDescent="0.25">
      <c r="A198" s="2" t="s">
        <v>224</v>
      </c>
      <c r="B198" s="2" t="s">
        <v>225</v>
      </c>
      <c r="C198" s="2">
        <v>72533</v>
      </c>
      <c r="D198" s="2" t="s">
        <v>231</v>
      </c>
      <c r="E198" s="2">
        <v>802</v>
      </c>
      <c r="G198" s="11"/>
      <c r="H198" s="11"/>
      <c r="I198" s="8">
        <v>14.618799999999998</v>
      </c>
      <c r="J198" s="9">
        <f t="shared" si="6"/>
        <v>14.618799999999998</v>
      </c>
      <c r="K198" s="10">
        <f t="shared" si="7"/>
        <v>11724.277599999999</v>
      </c>
    </row>
    <row r="199" spans="1:11" x14ac:dyDescent="0.25">
      <c r="A199" s="2" t="s">
        <v>224</v>
      </c>
      <c r="B199" s="2" t="s">
        <v>225</v>
      </c>
      <c r="C199" s="2">
        <v>72563</v>
      </c>
      <c r="D199" s="2" t="s">
        <v>232</v>
      </c>
      <c r="E199" s="2">
        <v>255</v>
      </c>
      <c r="G199" s="11"/>
      <c r="H199" s="11"/>
      <c r="I199" s="8">
        <v>14.618799999999998</v>
      </c>
      <c r="J199" s="9">
        <f t="shared" si="6"/>
        <v>14.618799999999998</v>
      </c>
      <c r="K199" s="10">
        <f t="shared" si="7"/>
        <v>3727.7939999999994</v>
      </c>
    </row>
    <row r="200" spans="1:11" x14ac:dyDescent="0.25">
      <c r="A200" s="2" t="s">
        <v>224</v>
      </c>
      <c r="B200" s="2" t="s">
        <v>225</v>
      </c>
      <c r="C200" s="2">
        <v>72567</v>
      </c>
      <c r="D200" s="2" t="s">
        <v>233</v>
      </c>
      <c r="E200" s="2">
        <v>255</v>
      </c>
      <c r="G200" s="11"/>
      <c r="H200" s="11"/>
      <c r="I200" s="8">
        <v>14.618799999999998</v>
      </c>
      <c r="J200" s="9">
        <f t="shared" si="6"/>
        <v>14.618799999999998</v>
      </c>
      <c r="K200" s="10">
        <f t="shared" si="7"/>
        <v>3727.7939999999994</v>
      </c>
    </row>
    <row r="201" spans="1:11" x14ac:dyDescent="0.25">
      <c r="A201" s="2" t="s">
        <v>234</v>
      </c>
      <c r="B201" s="2" t="s">
        <v>235</v>
      </c>
      <c r="C201" s="2">
        <v>72016</v>
      </c>
      <c r="D201" s="2" t="s">
        <v>236</v>
      </c>
      <c r="E201" s="2">
        <v>1002</v>
      </c>
      <c r="G201" s="11"/>
      <c r="H201" s="11"/>
      <c r="I201" s="8">
        <v>2.2999999999999994</v>
      </c>
      <c r="J201" s="9">
        <f t="shared" si="6"/>
        <v>2.2999999999999994</v>
      </c>
      <c r="K201" s="10">
        <f t="shared" si="7"/>
        <v>2304.5999999999995</v>
      </c>
    </row>
    <row r="202" spans="1:11" x14ac:dyDescent="0.25">
      <c r="A202" s="2" t="s">
        <v>234</v>
      </c>
      <c r="B202" s="2" t="s">
        <v>235</v>
      </c>
      <c r="C202" s="2">
        <v>72028</v>
      </c>
      <c r="D202" s="2" t="s">
        <v>237</v>
      </c>
      <c r="E202" s="2">
        <v>21984</v>
      </c>
      <c r="G202" s="11"/>
      <c r="H202" s="11"/>
      <c r="I202" s="8">
        <v>0.253</v>
      </c>
      <c r="J202" s="9">
        <f t="shared" si="6"/>
        <v>0.253</v>
      </c>
      <c r="K202" s="10">
        <f t="shared" si="7"/>
        <v>5561.9520000000002</v>
      </c>
    </row>
    <row r="203" spans="1:11" x14ac:dyDescent="0.25">
      <c r="A203" s="2" t="s">
        <v>234</v>
      </c>
      <c r="B203" s="2" t="s">
        <v>235</v>
      </c>
      <c r="C203" s="2">
        <v>72033</v>
      </c>
      <c r="D203" s="2" t="s">
        <v>238</v>
      </c>
      <c r="E203" s="2">
        <v>21984</v>
      </c>
      <c r="G203" s="11"/>
      <c r="H203" s="11"/>
      <c r="I203" s="8">
        <v>0.253</v>
      </c>
      <c r="J203" s="9">
        <f t="shared" si="6"/>
        <v>0.253</v>
      </c>
      <c r="K203" s="10">
        <f t="shared" si="7"/>
        <v>5561.9520000000002</v>
      </c>
    </row>
    <row r="204" spans="1:11" x14ac:dyDescent="0.25">
      <c r="A204" s="2" t="s">
        <v>239</v>
      </c>
      <c r="B204" s="2" t="s">
        <v>240</v>
      </c>
      <c r="C204" s="2">
        <v>72747</v>
      </c>
      <c r="D204" s="2" t="s">
        <v>241</v>
      </c>
      <c r="E204" s="2">
        <v>9</v>
      </c>
      <c r="G204" s="11"/>
      <c r="H204" s="11"/>
      <c r="I204" s="8">
        <v>6.8999999999999986</v>
      </c>
      <c r="J204" s="9">
        <f t="shared" si="6"/>
        <v>6.8999999999999986</v>
      </c>
      <c r="K204" s="10">
        <f t="shared" si="7"/>
        <v>62.099999999999987</v>
      </c>
    </row>
    <row r="205" spans="1:11" x14ac:dyDescent="0.25">
      <c r="A205" s="2" t="s">
        <v>239</v>
      </c>
      <c r="B205" s="2" t="s">
        <v>240</v>
      </c>
      <c r="C205" s="2">
        <v>72748</v>
      </c>
      <c r="D205" s="2" t="s">
        <v>242</v>
      </c>
      <c r="E205" s="2">
        <v>777</v>
      </c>
      <c r="G205" s="11"/>
      <c r="H205" s="11"/>
      <c r="I205" s="8">
        <v>6.8999999999999986</v>
      </c>
      <c r="J205" s="9">
        <f t="shared" si="6"/>
        <v>6.8999999999999986</v>
      </c>
      <c r="K205" s="10">
        <f t="shared" si="7"/>
        <v>5361.2999999999993</v>
      </c>
    </row>
    <row r="206" spans="1:11" x14ac:dyDescent="0.25">
      <c r="A206" s="2" t="s">
        <v>239</v>
      </c>
      <c r="B206" s="2" t="s">
        <v>240</v>
      </c>
      <c r="C206" s="2">
        <v>72755</v>
      </c>
      <c r="D206" s="2" t="s">
        <v>243</v>
      </c>
      <c r="E206" s="2">
        <v>253</v>
      </c>
      <c r="G206" s="11"/>
      <c r="H206" s="11"/>
      <c r="I206" s="8">
        <v>6.8999999999999986</v>
      </c>
      <c r="J206" s="9">
        <f t="shared" si="6"/>
        <v>6.8999999999999986</v>
      </c>
      <c r="K206" s="10">
        <f t="shared" si="7"/>
        <v>1745.6999999999996</v>
      </c>
    </row>
    <row r="207" spans="1:11" x14ac:dyDescent="0.25">
      <c r="A207" s="2" t="s">
        <v>239</v>
      </c>
      <c r="B207" s="2" t="s">
        <v>240</v>
      </c>
      <c r="C207" s="2">
        <v>72764</v>
      </c>
      <c r="D207" s="2" t="s">
        <v>244</v>
      </c>
      <c r="E207" s="2">
        <v>253</v>
      </c>
      <c r="G207" s="11"/>
      <c r="H207" s="11"/>
      <c r="I207" s="8">
        <v>6.8999999999999986</v>
      </c>
      <c r="J207" s="9">
        <f t="shared" si="6"/>
        <v>6.8999999999999986</v>
      </c>
      <c r="K207" s="10">
        <f t="shared" si="7"/>
        <v>1745.6999999999996</v>
      </c>
    </row>
    <row r="208" spans="1:11" x14ac:dyDescent="0.25">
      <c r="A208" s="2" t="s">
        <v>239</v>
      </c>
      <c r="B208" s="2" t="s">
        <v>240</v>
      </c>
      <c r="C208" s="2">
        <v>72771</v>
      </c>
      <c r="D208" s="2" t="s">
        <v>245</v>
      </c>
      <c r="E208" s="2">
        <v>777</v>
      </c>
      <c r="G208" s="11"/>
      <c r="H208" s="11"/>
      <c r="I208" s="8">
        <v>6.8999999999999986</v>
      </c>
      <c r="J208" s="9">
        <f t="shared" si="6"/>
        <v>6.8999999999999986</v>
      </c>
      <c r="K208" s="10">
        <f t="shared" si="7"/>
        <v>5361.2999999999993</v>
      </c>
    </row>
    <row r="209" spans="1:11" x14ac:dyDescent="0.25">
      <c r="A209" s="2" t="s">
        <v>239</v>
      </c>
      <c r="B209" s="2" t="s">
        <v>240</v>
      </c>
      <c r="C209" s="2">
        <v>72773</v>
      </c>
      <c r="D209" s="2" t="s">
        <v>246</v>
      </c>
      <c r="E209" s="2">
        <v>9</v>
      </c>
      <c r="G209" s="11"/>
      <c r="H209" s="11"/>
      <c r="I209" s="8">
        <v>6.8999999999999986</v>
      </c>
      <c r="J209" s="9">
        <f t="shared" si="6"/>
        <v>6.8999999999999986</v>
      </c>
      <c r="K209" s="10">
        <f t="shared" si="7"/>
        <v>62.099999999999987</v>
      </c>
    </row>
    <row r="210" spans="1:11" x14ac:dyDescent="0.25">
      <c r="A210" s="2" t="s">
        <v>239</v>
      </c>
      <c r="B210" s="2" t="s">
        <v>240</v>
      </c>
      <c r="C210" s="2">
        <v>72849</v>
      </c>
      <c r="D210" s="2" t="s">
        <v>247</v>
      </c>
      <c r="E210" s="2">
        <v>2</v>
      </c>
      <c r="G210" s="11"/>
      <c r="H210" s="11"/>
      <c r="I210" s="8">
        <v>6.8999999999999986</v>
      </c>
      <c r="J210" s="9">
        <f t="shared" si="6"/>
        <v>6.8999999999999986</v>
      </c>
      <c r="K210" s="10">
        <f t="shared" si="7"/>
        <v>13.799999999999997</v>
      </c>
    </row>
    <row r="211" spans="1:11" x14ac:dyDescent="0.25">
      <c r="A211" s="2" t="s">
        <v>239</v>
      </c>
      <c r="B211" s="2" t="s">
        <v>240</v>
      </c>
      <c r="C211" s="2">
        <v>72858</v>
      </c>
      <c r="D211" s="2" t="s">
        <v>248</v>
      </c>
      <c r="E211" s="2">
        <v>25</v>
      </c>
      <c r="G211" s="11"/>
      <c r="H211" s="11"/>
      <c r="I211" s="8">
        <v>6.8999999999999986</v>
      </c>
      <c r="J211" s="9">
        <f t="shared" si="6"/>
        <v>6.8999999999999986</v>
      </c>
      <c r="K211" s="10">
        <f t="shared" si="7"/>
        <v>172.49999999999997</v>
      </c>
    </row>
    <row r="212" spans="1:11" x14ac:dyDescent="0.25">
      <c r="A212" s="2" t="s">
        <v>239</v>
      </c>
      <c r="B212" s="2" t="s">
        <v>240</v>
      </c>
      <c r="C212" s="2">
        <v>72862</v>
      </c>
      <c r="D212" s="2" t="s">
        <v>249</v>
      </c>
      <c r="E212" s="2">
        <v>90</v>
      </c>
      <c r="G212" s="11"/>
      <c r="H212" s="11"/>
      <c r="I212" s="8">
        <v>6.8999999999999986</v>
      </c>
      <c r="J212" s="9">
        <f t="shared" si="6"/>
        <v>6.8999999999999986</v>
      </c>
      <c r="K212" s="10">
        <f t="shared" si="7"/>
        <v>620.99999999999989</v>
      </c>
    </row>
    <row r="213" spans="1:11" x14ac:dyDescent="0.25">
      <c r="A213" s="2" t="s">
        <v>239</v>
      </c>
      <c r="B213" s="2" t="s">
        <v>240</v>
      </c>
      <c r="C213" s="2">
        <v>72915</v>
      </c>
      <c r="D213" s="2" t="s">
        <v>250</v>
      </c>
      <c r="E213" s="2">
        <v>2</v>
      </c>
      <c r="G213" s="11"/>
      <c r="H213" s="11"/>
      <c r="I213" s="8">
        <v>5.52</v>
      </c>
      <c r="J213" s="9">
        <f t="shared" si="6"/>
        <v>5.52</v>
      </c>
      <c r="K213" s="10">
        <f t="shared" si="7"/>
        <v>11.04</v>
      </c>
    </row>
    <row r="214" spans="1:11" x14ac:dyDescent="0.25">
      <c r="A214" s="2" t="s">
        <v>239</v>
      </c>
      <c r="B214" s="2" t="s">
        <v>240</v>
      </c>
      <c r="C214" s="2">
        <v>72922</v>
      </c>
      <c r="D214" s="2" t="s">
        <v>251</v>
      </c>
      <c r="E214" s="2">
        <v>25</v>
      </c>
      <c r="G214" s="11"/>
      <c r="H214" s="11"/>
      <c r="I214" s="8">
        <v>5.52</v>
      </c>
      <c r="J214" s="9">
        <f t="shared" si="6"/>
        <v>5.52</v>
      </c>
      <c r="K214" s="10">
        <f t="shared" si="7"/>
        <v>138</v>
      </c>
    </row>
    <row r="215" spans="1:11" x14ac:dyDescent="0.25">
      <c r="A215" s="2" t="s">
        <v>239</v>
      </c>
      <c r="B215" s="2" t="s">
        <v>240</v>
      </c>
      <c r="C215" s="2">
        <v>72926</v>
      </c>
      <c r="D215" s="2" t="s">
        <v>252</v>
      </c>
      <c r="E215" s="2">
        <v>90</v>
      </c>
      <c r="G215" s="11"/>
      <c r="H215" s="11"/>
      <c r="I215" s="8">
        <v>5.52</v>
      </c>
      <c r="J215" s="9">
        <f t="shared" si="6"/>
        <v>5.52</v>
      </c>
      <c r="K215" s="10">
        <f t="shared" si="7"/>
        <v>496.79999999999995</v>
      </c>
    </row>
    <row r="216" spans="1:11" x14ac:dyDescent="0.25">
      <c r="A216" s="2" t="s">
        <v>253</v>
      </c>
      <c r="B216" s="2" t="s">
        <v>254</v>
      </c>
      <c r="C216" s="2">
        <v>72148</v>
      </c>
      <c r="D216" s="2" t="s">
        <v>255</v>
      </c>
      <c r="E216" s="2">
        <v>90</v>
      </c>
      <c r="G216" s="11"/>
      <c r="H216" s="11"/>
      <c r="I216" s="8">
        <v>5.52</v>
      </c>
      <c r="J216" s="9">
        <f t="shared" si="6"/>
        <v>5.52</v>
      </c>
      <c r="K216" s="10">
        <f t="shared" si="7"/>
        <v>496.79999999999995</v>
      </c>
    </row>
    <row r="217" spans="1:11" x14ac:dyDescent="0.25">
      <c r="A217" s="2" t="s">
        <v>253</v>
      </c>
      <c r="B217" s="2" t="s">
        <v>254</v>
      </c>
      <c r="C217" s="2">
        <v>72149</v>
      </c>
      <c r="D217" s="2" t="s">
        <v>256</v>
      </c>
      <c r="E217" s="2">
        <v>9</v>
      </c>
      <c r="G217" s="11"/>
      <c r="H217" s="11"/>
      <c r="I217" s="8">
        <v>5.52</v>
      </c>
      <c r="J217" s="9">
        <f t="shared" si="6"/>
        <v>5.52</v>
      </c>
      <c r="K217" s="10">
        <f t="shared" si="7"/>
        <v>49.679999999999993</v>
      </c>
    </row>
    <row r="218" spans="1:11" x14ac:dyDescent="0.25">
      <c r="A218" s="2" t="s">
        <v>253</v>
      </c>
      <c r="B218" s="2" t="s">
        <v>254</v>
      </c>
      <c r="C218" s="2">
        <v>72164</v>
      </c>
      <c r="D218" s="2" t="s">
        <v>257</v>
      </c>
      <c r="E218" s="2">
        <v>255</v>
      </c>
      <c r="G218" s="11"/>
      <c r="H218" s="11"/>
      <c r="I218" s="8">
        <v>5.52</v>
      </c>
      <c r="J218" s="9">
        <f t="shared" si="6"/>
        <v>5.52</v>
      </c>
      <c r="K218" s="10">
        <f t="shared" si="7"/>
        <v>1407.6</v>
      </c>
    </row>
    <row r="219" spans="1:11" x14ac:dyDescent="0.25">
      <c r="A219" s="2" t="s">
        <v>253</v>
      </c>
      <c r="B219" s="2" t="s">
        <v>254</v>
      </c>
      <c r="C219" s="2">
        <v>72226</v>
      </c>
      <c r="D219" s="2" t="s">
        <v>258</v>
      </c>
      <c r="E219" s="2">
        <v>90</v>
      </c>
      <c r="G219" s="11"/>
      <c r="H219" s="11"/>
      <c r="I219" s="8">
        <v>5.52</v>
      </c>
      <c r="J219" s="9">
        <f t="shared" si="6"/>
        <v>5.52</v>
      </c>
      <c r="K219" s="10">
        <f t="shared" si="7"/>
        <v>496.79999999999995</v>
      </c>
    </row>
    <row r="220" spans="1:11" x14ac:dyDescent="0.25">
      <c r="A220" s="2" t="s">
        <v>253</v>
      </c>
      <c r="B220" s="2" t="s">
        <v>254</v>
      </c>
      <c r="C220" s="2">
        <v>72229</v>
      </c>
      <c r="D220" s="2" t="s">
        <v>259</v>
      </c>
      <c r="E220" s="2">
        <v>9</v>
      </c>
      <c r="G220" s="11"/>
      <c r="H220" s="11"/>
      <c r="I220" s="8">
        <v>5.52</v>
      </c>
      <c r="J220" s="9">
        <f t="shared" si="6"/>
        <v>5.52</v>
      </c>
      <c r="K220" s="10">
        <f t="shared" si="7"/>
        <v>49.679999999999993</v>
      </c>
    </row>
    <row r="221" spans="1:11" x14ac:dyDescent="0.25">
      <c r="A221" s="2" t="s">
        <v>253</v>
      </c>
      <c r="B221" s="2" t="s">
        <v>254</v>
      </c>
      <c r="C221" s="2">
        <v>72233</v>
      </c>
      <c r="D221" s="2" t="s">
        <v>260</v>
      </c>
      <c r="E221" s="2">
        <v>802</v>
      </c>
      <c r="G221" s="11"/>
      <c r="H221" s="11"/>
      <c r="I221" s="8">
        <v>5.52</v>
      </c>
      <c r="J221" s="9">
        <f t="shared" si="6"/>
        <v>5.52</v>
      </c>
      <c r="K221" s="10">
        <f t="shared" si="7"/>
        <v>4427.04</v>
      </c>
    </row>
    <row r="222" spans="1:11" x14ac:dyDescent="0.25">
      <c r="A222" s="2" t="s">
        <v>253</v>
      </c>
      <c r="B222" s="2" t="s">
        <v>254</v>
      </c>
      <c r="C222" s="2">
        <v>72393</v>
      </c>
      <c r="D222" s="2" t="s">
        <v>261</v>
      </c>
      <c r="E222" s="2">
        <v>255</v>
      </c>
      <c r="G222" s="11"/>
      <c r="H222" s="11"/>
      <c r="I222" s="8">
        <v>5.52</v>
      </c>
      <c r="J222" s="9">
        <f t="shared" si="6"/>
        <v>5.52</v>
      </c>
      <c r="K222" s="10">
        <f t="shared" si="7"/>
        <v>1407.6</v>
      </c>
    </row>
    <row r="223" spans="1:11" x14ac:dyDescent="0.25">
      <c r="A223" s="2" t="s">
        <v>253</v>
      </c>
      <c r="B223" s="2" t="s">
        <v>254</v>
      </c>
      <c r="C223" s="2">
        <v>74120</v>
      </c>
      <c r="D223" s="2" t="s">
        <v>262</v>
      </c>
      <c r="E223" s="2">
        <v>802</v>
      </c>
      <c r="G223" s="11"/>
      <c r="H223" s="11"/>
      <c r="I223" s="8">
        <v>5.52</v>
      </c>
      <c r="J223" s="9">
        <f t="shared" si="6"/>
        <v>5.52</v>
      </c>
      <c r="K223" s="10">
        <f t="shared" si="7"/>
        <v>4427.04</v>
      </c>
    </row>
    <row r="224" spans="1:11" x14ac:dyDescent="0.25">
      <c r="A224" s="2" t="s">
        <v>253</v>
      </c>
      <c r="B224" s="2" t="s">
        <v>254</v>
      </c>
      <c r="C224" s="2">
        <v>77657</v>
      </c>
      <c r="D224" s="2" t="s">
        <v>263</v>
      </c>
      <c r="E224" s="2">
        <v>1156</v>
      </c>
      <c r="G224" s="11"/>
      <c r="H224" s="11"/>
      <c r="I224" s="8">
        <v>5.52</v>
      </c>
      <c r="J224" s="9">
        <f t="shared" si="6"/>
        <v>5.52</v>
      </c>
      <c r="K224" s="10">
        <f t="shared" si="7"/>
        <v>6381.12</v>
      </c>
    </row>
    <row r="225" spans="1:11" x14ac:dyDescent="0.25">
      <c r="A225" s="2" t="s">
        <v>264</v>
      </c>
      <c r="B225" s="2" t="s">
        <v>265</v>
      </c>
      <c r="C225" s="2">
        <v>72628</v>
      </c>
      <c r="D225" s="2" t="s">
        <v>266</v>
      </c>
      <c r="E225" s="2">
        <v>90</v>
      </c>
      <c r="G225" s="11"/>
      <c r="H225" s="11"/>
      <c r="I225" s="8">
        <v>93.015000000000001</v>
      </c>
      <c r="J225" s="9">
        <f t="shared" si="6"/>
        <v>93.015000000000001</v>
      </c>
      <c r="K225" s="10">
        <f t="shared" si="7"/>
        <v>8371.35</v>
      </c>
    </row>
    <row r="226" spans="1:11" x14ac:dyDescent="0.25">
      <c r="A226" s="2" t="s">
        <v>264</v>
      </c>
      <c r="B226" s="2" t="s">
        <v>265</v>
      </c>
      <c r="C226" s="2">
        <v>72648</v>
      </c>
      <c r="D226" s="2" t="s">
        <v>267</v>
      </c>
      <c r="E226" s="2">
        <v>9</v>
      </c>
      <c r="G226" s="11"/>
      <c r="H226" s="11"/>
      <c r="I226" s="8">
        <v>93.015000000000001</v>
      </c>
      <c r="J226" s="9">
        <f t="shared" si="6"/>
        <v>93.015000000000001</v>
      </c>
      <c r="K226" s="10">
        <f t="shared" si="7"/>
        <v>837.13499999999999</v>
      </c>
    </row>
    <row r="227" spans="1:11" x14ac:dyDescent="0.25">
      <c r="A227" s="2" t="s">
        <v>264</v>
      </c>
      <c r="B227" s="2" t="s">
        <v>265</v>
      </c>
      <c r="C227" s="2">
        <v>72650</v>
      </c>
      <c r="D227" s="2" t="s">
        <v>268</v>
      </c>
      <c r="E227" s="2">
        <v>802</v>
      </c>
      <c r="G227" s="11"/>
      <c r="H227" s="11"/>
      <c r="I227" s="8">
        <v>93.015000000000001</v>
      </c>
      <c r="J227" s="9">
        <f t="shared" si="6"/>
        <v>93.015000000000001</v>
      </c>
      <c r="K227" s="10">
        <f t="shared" si="7"/>
        <v>74598.03</v>
      </c>
    </row>
    <row r="228" spans="1:11" x14ac:dyDescent="0.25">
      <c r="A228" s="2" t="s">
        <v>264</v>
      </c>
      <c r="B228" s="2" t="s">
        <v>265</v>
      </c>
      <c r="C228" s="2">
        <v>72658</v>
      </c>
      <c r="D228" s="2" t="s">
        <v>269</v>
      </c>
      <c r="E228" s="2">
        <v>255</v>
      </c>
      <c r="G228" s="11"/>
      <c r="H228" s="11"/>
      <c r="I228" s="8">
        <v>93.015000000000001</v>
      </c>
      <c r="J228" s="9">
        <f t="shared" si="6"/>
        <v>93.015000000000001</v>
      </c>
      <c r="K228" s="10">
        <f t="shared" si="7"/>
        <v>23718.825000000001</v>
      </c>
    </row>
    <row r="229" spans="1:11" x14ac:dyDescent="0.25">
      <c r="A229" s="2" t="s">
        <v>264</v>
      </c>
      <c r="B229" s="2" t="s">
        <v>265</v>
      </c>
      <c r="C229" s="2">
        <v>72714</v>
      </c>
      <c r="D229" s="2" t="s">
        <v>270</v>
      </c>
      <c r="E229" s="2">
        <v>90</v>
      </c>
      <c r="G229" s="11"/>
      <c r="H229" s="11"/>
      <c r="I229" s="8">
        <v>93.015000000000001</v>
      </c>
      <c r="J229" s="9">
        <f t="shared" si="6"/>
        <v>93.015000000000001</v>
      </c>
      <c r="K229" s="10">
        <f t="shared" si="7"/>
        <v>8371.35</v>
      </c>
    </row>
    <row r="230" spans="1:11" x14ac:dyDescent="0.25">
      <c r="A230" s="2" t="s">
        <v>264</v>
      </c>
      <c r="B230" s="2" t="s">
        <v>265</v>
      </c>
      <c r="C230" s="2">
        <v>72715</v>
      </c>
      <c r="D230" s="2" t="s">
        <v>271</v>
      </c>
      <c r="E230" s="2">
        <v>9</v>
      </c>
      <c r="G230" s="11"/>
      <c r="H230" s="11"/>
      <c r="I230" s="8">
        <v>93.015000000000001</v>
      </c>
      <c r="J230" s="9">
        <f t="shared" si="6"/>
        <v>93.015000000000001</v>
      </c>
      <c r="K230" s="10">
        <f t="shared" si="7"/>
        <v>837.13499999999999</v>
      </c>
    </row>
    <row r="231" spans="1:11" x14ac:dyDescent="0.25">
      <c r="A231" s="2" t="s">
        <v>264</v>
      </c>
      <c r="B231" s="2" t="s">
        <v>265</v>
      </c>
      <c r="C231" s="2">
        <v>72716</v>
      </c>
      <c r="D231" s="2" t="s">
        <v>272</v>
      </c>
      <c r="E231" s="2">
        <v>802</v>
      </c>
      <c r="G231" s="11"/>
      <c r="H231" s="11"/>
      <c r="I231" s="8">
        <v>93.015000000000001</v>
      </c>
      <c r="J231" s="9">
        <f t="shared" si="6"/>
        <v>93.015000000000001</v>
      </c>
      <c r="K231" s="10">
        <f t="shared" si="7"/>
        <v>74598.03</v>
      </c>
    </row>
    <row r="232" spans="1:11" x14ac:dyDescent="0.25">
      <c r="A232" s="2" t="s">
        <v>264</v>
      </c>
      <c r="B232" s="2" t="s">
        <v>265</v>
      </c>
      <c r="C232" s="2">
        <v>72722</v>
      </c>
      <c r="D232" s="2" t="s">
        <v>273</v>
      </c>
      <c r="E232" s="2">
        <v>255</v>
      </c>
      <c r="G232" s="11"/>
      <c r="H232" s="11"/>
      <c r="I232" s="8">
        <v>93.015000000000001</v>
      </c>
      <c r="J232" s="9">
        <f t="shared" si="6"/>
        <v>93.015000000000001</v>
      </c>
      <c r="K232" s="10">
        <f t="shared" si="7"/>
        <v>23718.825000000001</v>
      </c>
    </row>
    <row r="233" spans="1:11" x14ac:dyDescent="0.25">
      <c r="A233" s="2" t="s">
        <v>264</v>
      </c>
      <c r="B233" s="2" t="s">
        <v>265</v>
      </c>
      <c r="C233" s="2">
        <v>71996</v>
      </c>
      <c r="D233" s="2" t="s">
        <v>274</v>
      </c>
      <c r="E233" s="2">
        <v>501</v>
      </c>
      <c r="G233" s="11"/>
      <c r="H233" s="11"/>
      <c r="I233" s="8">
        <v>93.015000000000001</v>
      </c>
      <c r="J233" s="9">
        <f t="shared" si="6"/>
        <v>93.015000000000001</v>
      </c>
      <c r="K233" s="10">
        <f t="shared" si="7"/>
        <v>46600.514999999999</v>
      </c>
    </row>
    <row r="234" spans="1:11" x14ac:dyDescent="0.25">
      <c r="A234" s="2">
        <v>0</v>
      </c>
      <c r="B234" s="2">
        <v>0</v>
      </c>
      <c r="C234" s="2">
        <v>23755</v>
      </c>
      <c r="D234" s="2" t="s">
        <v>275</v>
      </c>
      <c r="E234" s="2">
        <v>111</v>
      </c>
      <c r="F234" s="2" t="s">
        <v>276</v>
      </c>
      <c r="G234" s="11"/>
      <c r="H234" s="11"/>
      <c r="I234" s="11"/>
      <c r="J234" s="12"/>
      <c r="K234" s="12"/>
    </row>
    <row r="235" spans="1:11" x14ac:dyDescent="0.25">
      <c r="A235" s="2">
        <v>0</v>
      </c>
      <c r="B235" s="2">
        <v>0</v>
      </c>
      <c r="C235" s="2">
        <v>25170</v>
      </c>
      <c r="D235" s="2" t="s">
        <v>277</v>
      </c>
      <c r="E235" s="2">
        <v>3468</v>
      </c>
      <c r="F235" s="2" t="s">
        <v>276</v>
      </c>
      <c r="G235" s="11"/>
      <c r="H235" s="11"/>
      <c r="I235" s="11"/>
      <c r="J235" s="12"/>
      <c r="K235" s="12"/>
    </row>
    <row r="236" spans="1:11" x14ac:dyDescent="0.25">
      <c r="A236" s="2">
        <v>0</v>
      </c>
      <c r="B236" s="2">
        <v>0</v>
      </c>
      <c r="C236" s="2">
        <v>35523</v>
      </c>
      <c r="D236" s="2" t="s">
        <v>278</v>
      </c>
      <c r="E236" s="2">
        <v>197</v>
      </c>
      <c r="F236" s="2" t="s">
        <v>276</v>
      </c>
      <c r="G236" s="11"/>
      <c r="H236" s="11"/>
      <c r="I236" s="11"/>
      <c r="J236" s="12"/>
      <c r="K236" s="12"/>
    </row>
    <row r="237" spans="1:11" x14ac:dyDescent="0.25">
      <c r="A237" s="2">
        <v>0</v>
      </c>
      <c r="B237" s="2">
        <v>0</v>
      </c>
      <c r="C237" s="2">
        <v>35524</v>
      </c>
      <c r="D237" s="2" t="s">
        <v>279</v>
      </c>
      <c r="E237" s="2">
        <v>197</v>
      </c>
      <c r="F237" s="2" t="s">
        <v>276</v>
      </c>
      <c r="G237" s="11"/>
      <c r="H237" s="11"/>
      <c r="I237" s="11"/>
      <c r="J237" s="12"/>
      <c r="K237" s="12"/>
    </row>
    <row r="238" spans="1:11" x14ac:dyDescent="0.25">
      <c r="A238" s="2">
        <v>0</v>
      </c>
      <c r="B238" s="2">
        <v>0</v>
      </c>
      <c r="C238" s="2">
        <v>35525</v>
      </c>
      <c r="D238" s="2" t="s">
        <v>280</v>
      </c>
      <c r="E238" s="2">
        <v>197</v>
      </c>
      <c r="F238" s="2" t="s">
        <v>276</v>
      </c>
      <c r="G238" s="11"/>
      <c r="H238" s="11"/>
      <c r="I238" s="11"/>
      <c r="J238" s="12"/>
      <c r="K238" s="12"/>
    </row>
    <row r="239" spans="1:11" x14ac:dyDescent="0.25">
      <c r="A239" s="2">
        <v>0</v>
      </c>
      <c r="B239" s="2">
        <v>0</v>
      </c>
      <c r="C239" s="2">
        <v>35526</v>
      </c>
      <c r="D239" s="2" t="s">
        <v>281</v>
      </c>
      <c r="E239" s="2">
        <v>197</v>
      </c>
      <c r="F239" s="2" t="s">
        <v>276</v>
      </c>
      <c r="G239" s="11"/>
      <c r="H239" s="11"/>
      <c r="I239" s="11"/>
      <c r="J239" s="12"/>
      <c r="K239" s="12"/>
    </row>
    <row r="240" spans="1:11" x14ac:dyDescent="0.25">
      <c r="A240" s="2">
        <v>0</v>
      </c>
      <c r="B240" s="2">
        <v>0</v>
      </c>
      <c r="C240" s="2">
        <v>43308</v>
      </c>
      <c r="D240" s="2" t="s">
        <v>282</v>
      </c>
      <c r="E240" s="2">
        <v>2312</v>
      </c>
      <c r="F240" s="2" t="s">
        <v>276</v>
      </c>
      <c r="G240" s="11"/>
      <c r="H240" s="11"/>
      <c r="I240" s="11"/>
      <c r="J240" s="12"/>
      <c r="K240" s="12"/>
    </row>
    <row r="241" spans="1:11" x14ac:dyDescent="0.25">
      <c r="A241" s="2">
        <v>0</v>
      </c>
      <c r="B241" s="2">
        <v>0</v>
      </c>
      <c r="C241" s="2">
        <v>43309</v>
      </c>
      <c r="D241" s="2" t="s">
        <v>283</v>
      </c>
      <c r="E241" s="2">
        <v>2312</v>
      </c>
      <c r="F241" s="2" t="s">
        <v>276</v>
      </c>
      <c r="G241" s="11"/>
      <c r="H241" s="11"/>
      <c r="I241" s="11"/>
      <c r="J241" s="12"/>
      <c r="K241" s="12"/>
    </row>
    <row r="242" spans="1:11" x14ac:dyDescent="0.25">
      <c r="A242" s="2">
        <v>0</v>
      </c>
      <c r="B242" s="2">
        <v>0</v>
      </c>
      <c r="C242" s="2">
        <v>55003</v>
      </c>
      <c r="D242" s="2" t="s">
        <v>284</v>
      </c>
      <c r="E242" s="2">
        <v>8032</v>
      </c>
      <c r="F242" s="2" t="s">
        <v>276</v>
      </c>
      <c r="G242" s="11"/>
      <c r="H242" s="11"/>
      <c r="I242" s="11"/>
      <c r="J242" s="12"/>
      <c r="K242" s="12"/>
    </row>
    <row r="243" spans="1:11" x14ac:dyDescent="0.25">
      <c r="A243" s="2">
        <v>0</v>
      </c>
      <c r="B243" s="2">
        <v>0</v>
      </c>
      <c r="C243" s="2">
        <v>55006</v>
      </c>
      <c r="D243" s="2" t="s">
        <v>285</v>
      </c>
      <c r="E243" s="2">
        <v>2312</v>
      </c>
      <c r="F243" s="2" t="s">
        <v>276</v>
      </c>
      <c r="G243" s="11"/>
      <c r="H243" s="11"/>
      <c r="I243" s="11"/>
      <c r="J243" s="12"/>
      <c r="K243" s="12"/>
    </row>
    <row r="244" spans="1:11" x14ac:dyDescent="0.25">
      <c r="A244" s="2">
        <v>0</v>
      </c>
      <c r="B244" s="2">
        <v>0</v>
      </c>
      <c r="C244" s="2">
        <v>55007</v>
      </c>
      <c r="D244" s="2" t="s">
        <v>286</v>
      </c>
      <c r="E244" s="2">
        <v>2312</v>
      </c>
      <c r="F244" s="2" t="s">
        <v>276</v>
      </c>
      <c r="G244" s="11"/>
      <c r="H244" s="11"/>
      <c r="I244" s="11"/>
      <c r="J244" s="12"/>
      <c r="K244" s="12"/>
    </row>
    <row r="245" spans="1:11" x14ac:dyDescent="0.25">
      <c r="A245" s="2">
        <v>0</v>
      </c>
      <c r="B245" s="2">
        <v>0</v>
      </c>
      <c r="C245" s="2">
        <v>55228</v>
      </c>
      <c r="D245" s="2" t="s">
        <v>287</v>
      </c>
      <c r="E245" s="2">
        <v>10287</v>
      </c>
      <c r="F245" s="2" t="s">
        <v>276</v>
      </c>
      <c r="G245" s="11"/>
      <c r="H245" s="11"/>
      <c r="I245" s="11"/>
      <c r="J245" s="12"/>
      <c r="K245" s="12"/>
    </row>
    <row r="246" spans="1:11" x14ac:dyDescent="0.25">
      <c r="A246" s="2">
        <v>0</v>
      </c>
      <c r="B246" s="2">
        <v>0</v>
      </c>
      <c r="C246" s="2">
        <v>55229</v>
      </c>
      <c r="D246" s="2" t="s">
        <v>288</v>
      </c>
      <c r="E246" s="2">
        <v>1728</v>
      </c>
      <c r="F246" s="2" t="s">
        <v>276</v>
      </c>
      <c r="G246" s="11"/>
      <c r="H246" s="11"/>
      <c r="I246" s="11"/>
      <c r="J246" s="12"/>
      <c r="K246" s="12"/>
    </row>
    <row r="247" spans="1:11" x14ac:dyDescent="0.25">
      <c r="A247" s="2">
        <v>0</v>
      </c>
      <c r="B247" s="2">
        <v>0</v>
      </c>
      <c r="C247" s="2">
        <v>55458</v>
      </c>
      <c r="D247" s="2" t="s">
        <v>289</v>
      </c>
      <c r="E247" s="2">
        <v>270</v>
      </c>
      <c r="F247" s="2" t="s">
        <v>276</v>
      </c>
      <c r="G247" s="11"/>
      <c r="H247" s="11"/>
      <c r="I247" s="11"/>
      <c r="J247" s="12"/>
      <c r="K247" s="12"/>
    </row>
    <row r="248" spans="1:11" x14ac:dyDescent="0.25">
      <c r="A248" s="2">
        <v>0</v>
      </c>
      <c r="B248" s="2">
        <v>0</v>
      </c>
      <c r="C248" s="2">
        <v>56164</v>
      </c>
      <c r="D248" s="2" t="s">
        <v>290</v>
      </c>
      <c r="E248" s="2">
        <v>2004</v>
      </c>
      <c r="F248" s="2" t="s">
        <v>276</v>
      </c>
      <c r="G248" s="11"/>
      <c r="H248" s="11"/>
      <c r="I248" s="11"/>
      <c r="J248" s="12"/>
      <c r="K248" s="12"/>
    </row>
    <row r="249" spans="1:11" x14ac:dyDescent="0.25">
      <c r="A249" s="2">
        <v>0</v>
      </c>
      <c r="B249" s="2">
        <v>0</v>
      </c>
      <c r="C249" s="2">
        <v>56321</v>
      </c>
      <c r="D249" s="2" t="s">
        <v>291</v>
      </c>
      <c r="E249" s="2">
        <v>14872</v>
      </c>
      <c r="F249" s="2" t="s">
        <v>276</v>
      </c>
      <c r="G249" s="11"/>
      <c r="H249" s="11"/>
      <c r="I249" s="11"/>
      <c r="J249" s="12"/>
      <c r="K249" s="12"/>
    </row>
    <row r="250" spans="1:11" x14ac:dyDescent="0.25">
      <c r="A250" s="2">
        <v>0</v>
      </c>
      <c r="B250" s="2">
        <v>0</v>
      </c>
      <c r="C250" s="2">
        <v>57463</v>
      </c>
      <c r="D250" s="2" t="s">
        <v>292</v>
      </c>
      <c r="E250" s="2">
        <v>2294</v>
      </c>
      <c r="F250" s="2" t="s">
        <v>276</v>
      </c>
      <c r="G250" s="11"/>
      <c r="H250" s="11"/>
      <c r="I250" s="11"/>
      <c r="J250" s="12"/>
      <c r="K250" s="12"/>
    </row>
    <row r="251" spans="1:11" x14ac:dyDescent="0.25">
      <c r="A251" s="2">
        <v>0</v>
      </c>
      <c r="B251" s="2">
        <v>0</v>
      </c>
      <c r="C251" s="2">
        <v>58335</v>
      </c>
      <c r="D251" s="2" t="s">
        <v>293</v>
      </c>
      <c r="E251" s="2">
        <v>5780</v>
      </c>
      <c r="F251" s="2" t="s">
        <v>276</v>
      </c>
      <c r="G251" s="11"/>
      <c r="H251" s="11"/>
      <c r="I251" s="11"/>
      <c r="J251" s="12"/>
      <c r="K251" s="12"/>
    </row>
    <row r="252" spans="1:11" x14ac:dyDescent="0.25">
      <c r="A252" s="2">
        <v>0</v>
      </c>
      <c r="B252" s="2">
        <v>0</v>
      </c>
      <c r="C252" s="2">
        <v>58342</v>
      </c>
      <c r="D252" s="2" t="s">
        <v>294</v>
      </c>
      <c r="E252" s="2">
        <v>2312</v>
      </c>
      <c r="F252" s="2" t="s">
        <v>276</v>
      </c>
      <c r="G252" s="11"/>
      <c r="H252" s="11"/>
      <c r="I252" s="11"/>
      <c r="J252" s="12"/>
      <c r="K252" s="12"/>
    </row>
    <row r="253" spans="1:11" x14ac:dyDescent="0.25">
      <c r="A253" s="2">
        <v>0</v>
      </c>
      <c r="B253" s="2">
        <v>0</v>
      </c>
      <c r="C253" s="2">
        <v>58343</v>
      </c>
      <c r="D253" s="2" t="s">
        <v>295</v>
      </c>
      <c r="E253" s="2">
        <v>2312</v>
      </c>
      <c r="F253" s="2" t="s">
        <v>276</v>
      </c>
      <c r="G253" s="11"/>
      <c r="H253" s="11"/>
      <c r="I253" s="11"/>
      <c r="J253" s="12"/>
      <c r="K253" s="12"/>
    </row>
    <row r="254" spans="1:11" x14ac:dyDescent="0.25">
      <c r="A254" s="2">
        <v>0</v>
      </c>
      <c r="B254" s="2">
        <v>0</v>
      </c>
      <c r="C254" s="2">
        <v>58353</v>
      </c>
      <c r="D254" s="2" t="s">
        <v>296</v>
      </c>
      <c r="E254" s="2">
        <v>12104</v>
      </c>
      <c r="F254" s="2" t="s">
        <v>276</v>
      </c>
      <c r="G254" s="11"/>
      <c r="H254" s="11"/>
      <c r="I254" s="11"/>
      <c r="J254" s="12"/>
      <c r="K254" s="12"/>
    </row>
    <row r="255" spans="1:11" x14ac:dyDescent="0.25">
      <c r="A255" s="2">
        <v>0</v>
      </c>
      <c r="B255" s="2">
        <v>0</v>
      </c>
      <c r="C255" s="2">
        <v>58355</v>
      </c>
      <c r="D255" s="2" t="s">
        <v>297</v>
      </c>
      <c r="E255" s="2">
        <v>12104</v>
      </c>
      <c r="F255" s="2" t="s">
        <v>276</v>
      </c>
      <c r="G255" s="11"/>
      <c r="H255" s="11"/>
      <c r="I255" s="11"/>
      <c r="J255" s="12"/>
      <c r="K255" s="12"/>
    </row>
    <row r="256" spans="1:11" x14ac:dyDescent="0.25">
      <c r="A256" s="2">
        <v>0</v>
      </c>
      <c r="B256" s="2">
        <v>0</v>
      </c>
      <c r="C256" s="2">
        <v>58502</v>
      </c>
      <c r="D256" s="2" t="s">
        <v>298</v>
      </c>
      <c r="E256" s="2">
        <v>1448</v>
      </c>
      <c r="F256" s="2" t="s">
        <v>276</v>
      </c>
      <c r="G256" s="11"/>
      <c r="H256" s="11"/>
      <c r="I256" s="11"/>
      <c r="J256" s="12"/>
      <c r="K256" s="12"/>
    </row>
    <row r="257" spans="1:11" x14ac:dyDescent="0.25">
      <c r="A257" s="2">
        <v>0</v>
      </c>
      <c r="B257" s="2">
        <v>0</v>
      </c>
      <c r="C257" s="2">
        <v>62706</v>
      </c>
      <c r="D257" s="2" t="s">
        <v>299</v>
      </c>
      <c r="E257" s="2">
        <v>111</v>
      </c>
      <c r="F257" s="2" t="s">
        <v>276</v>
      </c>
      <c r="G257" s="11"/>
      <c r="H257" s="11"/>
      <c r="I257" s="11"/>
      <c r="J257" s="12"/>
      <c r="K257" s="12"/>
    </row>
    <row r="258" spans="1:11" x14ac:dyDescent="0.25">
      <c r="A258" s="2">
        <v>0</v>
      </c>
      <c r="B258" s="2">
        <v>0</v>
      </c>
      <c r="C258" s="2">
        <v>62743</v>
      </c>
      <c r="D258" s="2" t="s">
        <v>300</v>
      </c>
      <c r="E258" s="2">
        <v>1218</v>
      </c>
      <c r="F258" s="2" t="s">
        <v>276</v>
      </c>
      <c r="G258" s="11"/>
      <c r="H258" s="11"/>
      <c r="I258" s="11"/>
      <c r="J258" s="12"/>
      <c r="K258" s="12"/>
    </row>
    <row r="259" spans="1:11" x14ac:dyDescent="0.25">
      <c r="A259" s="2">
        <v>0</v>
      </c>
      <c r="B259" s="2">
        <v>0</v>
      </c>
      <c r="C259" s="2">
        <v>68115</v>
      </c>
      <c r="D259" s="2" t="s">
        <v>301</v>
      </c>
      <c r="E259" s="2">
        <v>1002</v>
      </c>
      <c r="F259" s="2" t="s">
        <v>276</v>
      </c>
      <c r="G259" s="11"/>
      <c r="H259" s="11"/>
      <c r="I259" s="11"/>
      <c r="J259" s="12"/>
      <c r="K259" s="12"/>
    </row>
    <row r="260" spans="1:11" x14ac:dyDescent="0.25">
      <c r="A260" s="2">
        <v>0</v>
      </c>
      <c r="B260" s="2">
        <v>0</v>
      </c>
      <c r="C260" s="2">
        <v>68135</v>
      </c>
      <c r="D260" s="2" t="s">
        <v>302</v>
      </c>
      <c r="E260" s="2">
        <v>3468</v>
      </c>
      <c r="F260" s="2" t="s">
        <v>276</v>
      </c>
      <c r="G260" s="11"/>
      <c r="H260" s="11"/>
      <c r="I260" s="11"/>
      <c r="J260" s="12"/>
      <c r="K260" s="12"/>
    </row>
    <row r="261" spans="1:11" x14ac:dyDescent="0.25">
      <c r="A261" s="2">
        <v>0</v>
      </c>
      <c r="B261" s="2">
        <v>0</v>
      </c>
      <c r="C261" s="2">
        <v>68172</v>
      </c>
      <c r="D261" s="2" t="s">
        <v>303</v>
      </c>
      <c r="E261" s="2">
        <v>1039</v>
      </c>
      <c r="F261" s="2" t="s">
        <v>276</v>
      </c>
      <c r="G261" s="11"/>
      <c r="H261" s="11"/>
      <c r="I261" s="11"/>
      <c r="J261" s="12"/>
      <c r="K261" s="12"/>
    </row>
    <row r="262" spans="1:11" x14ac:dyDescent="0.25">
      <c r="A262" s="2">
        <v>0</v>
      </c>
      <c r="B262" s="2">
        <v>0</v>
      </c>
      <c r="C262" s="2">
        <v>86119</v>
      </c>
      <c r="D262" s="2" t="s">
        <v>304</v>
      </c>
      <c r="E262" s="2">
        <v>12032</v>
      </c>
      <c r="F262" s="2" t="s">
        <v>276</v>
      </c>
      <c r="G262" s="11"/>
      <c r="H262" s="11"/>
      <c r="I262" s="11"/>
      <c r="J262" s="12"/>
      <c r="K262" s="12"/>
    </row>
    <row r="263" spans="1:11" x14ac:dyDescent="0.25">
      <c r="A263" s="2">
        <v>0</v>
      </c>
      <c r="B263" s="2">
        <v>0</v>
      </c>
      <c r="C263" s="2">
        <v>86122</v>
      </c>
      <c r="D263" s="2" t="s">
        <v>305</v>
      </c>
      <c r="E263" s="2">
        <v>12091</v>
      </c>
      <c r="F263" s="2" t="s">
        <v>276</v>
      </c>
      <c r="G263" s="11"/>
      <c r="H263" s="11"/>
      <c r="I263" s="11"/>
      <c r="J263" s="12"/>
      <c r="K263" s="12"/>
    </row>
    <row r="264" spans="1:11" x14ac:dyDescent="0.25">
      <c r="A264" s="2">
        <v>0</v>
      </c>
      <c r="B264" s="2">
        <v>0</v>
      </c>
      <c r="C264" s="2">
        <v>86999</v>
      </c>
      <c r="D264" s="2" t="s">
        <v>306</v>
      </c>
      <c r="E264" s="2">
        <v>2312</v>
      </c>
      <c r="F264" s="2" t="s">
        <v>276</v>
      </c>
      <c r="G264" s="11"/>
      <c r="H264" s="11"/>
      <c r="I264" s="11"/>
      <c r="J264" s="12"/>
      <c r="K264" s="12"/>
    </row>
    <row r="265" spans="1:11" x14ac:dyDescent="0.25">
      <c r="A265" s="2" t="s">
        <v>151</v>
      </c>
      <c r="B265" s="2" t="s">
        <v>152</v>
      </c>
      <c r="C265" s="2">
        <v>66575</v>
      </c>
      <c r="D265" s="2" t="s">
        <v>163</v>
      </c>
      <c r="E265" s="2">
        <v>2725</v>
      </c>
      <c r="F265" s="2" t="s">
        <v>307</v>
      </c>
      <c r="G265" s="8">
        <v>0.70040000000000002</v>
      </c>
      <c r="H265" s="8">
        <v>7.4800000000000019E-2</v>
      </c>
      <c r="I265" s="11"/>
      <c r="J265" s="9">
        <f t="shared" ref="J265:J285" si="8">G265+H265+I265</f>
        <v>0.7752</v>
      </c>
      <c r="K265" s="10">
        <f t="shared" ref="K265:K285" si="9">J265*E265</f>
        <v>2112.42</v>
      </c>
    </row>
    <row r="266" spans="1:11" x14ac:dyDescent="0.25">
      <c r="A266" s="2" t="s">
        <v>151</v>
      </c>
      <c r="B266" s="2" t="s">
        <v>152</v>
      </c>
      <c r="C266" s="2">
        <v>955</v>
      </c>
      <c r="D266" s="2" t="s">
        <v>165</v>
      </c>
      <c r="E266" s="2">
        <v>10900</v>
      </c>
      <c r="F266" s="2" t="s">
        <v>307</v>
      </c>
      <c r="G266" s="8">
        <v>1.9673000000000003</v>
      </c>
      <c r="H266" s="8">
        <v>0.21010000000000004</v>
      </c>
      <c r="I266" s="11">
        <v>0.27</v>
      </c>
      <c r="J266" s="9">
        <f t="shared" si="8"/>
        <v>2.4474000000000005</v>
      </c>
      <c r="K266" s="10">
        <f t="shared" si="9"/>
        <v>26676.660000000003</v>
      </c>
    </row>
    <row r="267" spans="1:11" x14ac:dyDescent="0.25">
      <c r="A267" s="2" t="s">
        <v>308</v>
      </c>
      <c r="B267" s="2" t="s">
        <v>309</v>
      </c>
      <c r="C267" s="2">
        <v>77752</v>
      </c>
      <c r="D267" s="2" t="s">
        <v>310</v>
      </c>
      <c r="E267" s="2">
        <v>2725</v>
      </c>
      <c r="F267" s="2" t="s">
        <v>307</v>
      </c>
      <c r="G267" s="11"/>
      <c r="H267" s="11"/>
      <c r="I267" s="8">
        <v>78.704999999999998</v>
      </c>
      <c r="J267" s="9">
        <f t="shared" si="8"/>
        <v>78.704999999999998</v>
      </c>
      <c r="K267" s="10">
        <f t="shared" si="9"/>
        <v>214471.125</v>
      </c>
    </row>
    <row r="268" spans="1:11" x14ac:dyDescent="0.25">
      <c r="A268" s="2" t="s">
        <v>308</v>
      </c>
      <c r="B268" s="2" t="s">
        <v>309</v>
      </c>
      <c r="C268" s="2">
        <v>77754</v>
      </c>
      <c r="D268" s="2" t="s">
        <v>311</v>
      </c>
      <c r="E268" s="2">
        <v>2725</v>
      </c>
      <c r="F268" s="2" t="s">
        <v>307</v>
      </c>
      <c r="G268" s="11"/>
      <c r="H268" s="11"/>
      <c r="I268" s="8">
        <v>78.704999999999998</v>
      </c>
      <c r="J268" s="9">
        <f t="shared" si="8"/>
        <v>78.704999999999998</v>
      </c>
      <c r="K268" s="10">
        <f t="shared" si="9"/>
        <v>214471.125</v>
      </c>
    </row>
    <row r="269" spans="1:11" x14ac:dyDescent="0.25">
      <c r="A269" s="2" t="s">
        <v>264</v>
      </c>
      <c r="B269" s="2" t="s">
        <v>265</v>
      </c>
      <c r="C269" s="2">
        <v>71988</v>
      </c>
      <c r="D269" s="2" t="s">
        <v>312</v>
      </c>
      <c r="E269" s="2">
        <v>0</v>
      </c>
      <c r="G269" s="11"/>
      <c r="H269" s="11"/>
      <c r="I269" s="8">
        <v>64.394999999999996</v>
      </c>
      <c r="J269" s="9">
        <f t="shared" si="8"/>
        <v>64.394999999999996</v>
      </c>
      <c r="K269" s="10">
        <f t="shared" si="9"/>
        <v>0</v>
      </c>
    </row>
    <row r="270" spans="1:11" x14ac:dyDescent="0.25">
      <c r="A270" s="2" t="s">
        <v>12</v>
      </c>
      <c r="B270" s="2" t="s">
        <v>13</v>
      </c>
      <c r="C270" s="2">
        <v>74376</v>
      </c>
      <c r="D270" s="2" t="s">
        <v>313</v>
      </c>
      <c r="E270" s="2">
        <v>2</v>
      </c>
      <c r="G270" s="8">
        <v>23.46</v>
      </c>
      <c r="H270" s="8">
        <v>2.8151999999999999</v>
      </c>
      <c r="I270" s="8">
        <v>1.08</v>
      </c>
      <c r="J270" s="9">
        <f t="shared" si="8"/>
        <v>27.355200000000004</v>
      </c>
      <c r="K270" s="10">
        <f t="shared" si="9"/>
        <v>54.710400000000007</v>
      </c>
    </row>
    <row r="271" spans="1:11" x14ac:dyDescent="0.25">
      <c r="A271" s="2" t="s">
        <v>12</v>
      </c>
      <c r="B271" s="2" t="s">
        <v>13</v>
      </c>
      <c r="C271" s="2">
        <v>76142</v>
      </c>
      <c r="D271" s="2" t="s">
        <v>314</v>
      </c>
      <c r="E271" s="2">
        <v>2</v>
      </c>
      <c r="G271" s="8">
        <v>32.369999999999997</v>
      </c>
      <c r="H271" s="8">
        <v>3.8843999999999994</v>
      </c>
      <c r="I271" s="8">
        <v>1.08</v>
      </c>
      <c r="J271" s="9">
        <f t="shared" si="8"/>
        <v>37.334399999999995</v>
      </c>
      <c r="K271" s="10">
        <f t="shared" si="9"/>
        <v>74.66879999999999</v>
      </c>
    </row>
    <row r="272" spans="1:11" x14ac:dyDescent="0.25">
      <c r="A272" s="2" t="s">
        <v>12</v>
      </c>
      <c r="B272" s="2" t="s">
        <v>13</v>
      </c>
      <c r="C272" s="2">
        <v>76144</v>
      </c>
      <c r="D272" s="2" t="s">
        <v>315</v>
      </c>
      <c r="E272" s="2">
        <v>16</v>
      </c>
      <c r="G272" s="8">
        <v>13.022981077626607</v>
      </c>
      <c r="H272" s="8">
        <v>1.3908038044067252</v>
      </c>
      <c r="I272" s="8">
        <v>1.08</v>
      </c>
      <c r="J272" s="9">
        <f t="shared" si="8"/>
        <v>15.493784882033333</v>
      </c>
      <c r="K272" s="10">
        <f t="shared" si="9"/>
        <v>247.90055811253333</v>
      </c>
    </row>
    <row r="273" spans="1:11" x14ac:dyDescent="0.25">
      <c r="A273" s="2" t="s">
        <v>12</v>
      </c>
      <c r="B273" s="2" t="s">
        <v>13</v>
      </c>
      <c r="C273" s="2">
        <v>76145</v>
      </c>
      <c r="D273" s="2" t="s">
        <v>316</v>
      </c>
      <c r="E273" s="2">
        <v>42</v>
      </c>
      <c r="G273" s="8">
        <v>12.095981077626609</v>
      </c>
      <c r="H273" s="8">
        <v>1.2918038044067255</v>
      </c>
      <c r="I273" s="8">
        <v>1.08</v>
      </c>
      <c r="J273" s="9">
        <f t="shared" si="8"/>
        <v>14.467784882033335</v>
      </c>
      <c r="K273" s="10">
        <f t="shared" si="9"/>
        <v>607.64696504540007</v>
      </c>
    </row>
    <row r="274" spans="1:11" x14ac:dyDescent="0.25">
      <c r="A274" s="2" t="s">
        <v>12</v>
      </c>
      <c r="B274" s="2" t="s">
        <v>13</v>
      </c>
      <c r="C274" s="2">
        <v>76146</v>
      </c>
      <c r="D274" s="2" t="s">
        <v>317</v>
      </c>
      <c r="E274" s="2">
        <v>8</v>
      </c>
      <c r="G274" s="8">
        <v>15.515581077626608</v>
      </c>
      <c r="H274" s="8">
        <v>1.6570038044067252</v>
      </c>
      <c r="I274" s="8">
        <v>1.08</v>
      </c>
      <c r="J274" s="9">
        <f t="shared" si="8"/>
        <v>18.252584882033332</v>
      </c>
      <c r="K274" s="10">
        <f t="shared" si="9"/>
        <v>146.02067905626666</v>
      </c>
    </row>
    <row r="275" spans="1:11" x14ac:dyDescent="0.25">
      <c r="A275" s="2" t="s">
        <v>12</v>
      </c>
      <c r="B275" s="2" t="s">
        <v>13</v>
      </c>
      <c r="C275" s="2">
        <v>76147</v>
      </c>
      <c r="D275" s="2" t="s">
        <v>318</v>
      </c>
      <c r="E275" s="2">
        <v>51</v>
      </c>
      <c r="G275" s="8">
        <v>16.720681077626612</v>
      </c>
      <c r="H275" s="8">
        <v>1.7857038044067257</v>
      </c>
      <c r="I275" s="8">
        <v>1.08</v>
      </c>
      <c r="J275" s="9">
        <f t="shared" si="8"/>
        <v>19.586384882033336</v>
      </c>
      <c r="K275" s="10">
        <f t="shared" si="9"/>
        <v>998.90562898370013</v>
      </c>
    </row>
    <row r="276" spans="1:11" x14ac:dyDescent="0.25">
      <c r="A276" s="2" t="s">
        <v>12</v>
      </c>
      <c r="B276" s="2" t="s">
        <v>13</v>
      </c>
      <c r="C276" s="2">
        <v>76148</v>
      </c>
      <c r="D276" s="2" t="s">
        <v>319</v>
      </c>
      <c r="E276" s="2">
        <v>51</v>
      </c>
      <c r="G276" s="8">
        <v>13.720194665480916</v>
      </c>
      <c r="H276" s="8">
        <v>1.4652635079639815</v>
      </c>
      <c r="I276" s="8">
        <v>1.08</v>
      </c>
      <c r="J276" s="9">
        <f t="shared" si="8"/>
        <v>16.265458173444898</v>
      </c>
      <c r="K276" s="10">
        <f t="shared" si="9"/>
        <v>829.53836684568978</v>
      </c>
    </row>
    <row r="277" spans="1:11" x14ac:dyDescent="0.25">
      <c r="A277" s="2" t="s">
        <v>12</v>
      </c>
      <c r="B277" s="2" t="s">
        <v>13</v>
      </c>
      <c r="C277" s="2">
        <v>76149</v>
      </c>
      <c r="D277" s="2" t="s">
        <v>320</v>
      </c>
      <c r="E277" s="2">
        <v>42</v>
      </c>
      <c r="G277" s="8">
        <v>13.233554492092841</v>
      </c>
      <c r="H277" s="8">
        <v>1.4132922273108861</v>
      </c>
      <c r="I277" s="8">
        <v>1.08</v>
      </c>
      <c r="J277" s="9">
        <f t="shared" si="8"/>
        <v>15.726846719403728</v>
      </c>
      <c r="K277" s="10">
        <f t="shared" si="9"/>
        <v>660.52756221495656</v>
      </c>
    </row>
    <row r="278" spans="1:11" x14ac:dyDescent="0.25">
      <c r="A278" s="2" t="s">
        <v>12</v>
      </c>
      <c r="B278" s="2" t="s">
        <v>13</v>
      </c>
      <c r="C278" s="2">
        <v>76150</v>
      </c>
      <c r="D278" s="2" t="s">
        <v>321</v>
      </c>
      <c r="E278" s="2">
        <v>14</v>
      </c>
      <c r="G278" s="8">
        <v>17.596317441540211</v>
      </c>
      <c r="H278" s="8">
        <v>1.8792183675431298</v>
      </c>
      <c r="I278" s="8">
        <v>1.08</v>
      </c>
      <c r="J278" s="9">
        <f t="shared" si="8"/>
        <v>20.555535809083338</v>
      </c>
      <c r="K278" s="10">
        <f t="shared" si="9"/>
        <v>287.77750132716676</v>
      </c>
    </row>
    <row r="279" spans="1:11" x14ac:dyDescent="0.25">
      <c r="A279" s="2" t="s">
        <v>12</v>
      </c>
      <c r="B279" s="2" t="s">
        <v>13</v>
      </c>
      <c r="C279" s="2">
        <v>76151</v>
      </c>
      <c r="D279" s="2" t="s">
        <v>322</v>
      </c>
      <c r="E279" s="2">
        <v>35</v>
      </c>
      <c r="G279" s="8">
        <v>18.801417441540213</v>
      </c>
      <c r="H279" s="8">
        <v>2.0079183675431298</v>
      </c>
      <c r="I279" s="8">
        <v>1.08</v>
      </c>
      <c r="J279" s="9">
        <f t="shared" si="8"/>
        <v>21.889335809083342</v>
      </c>
      <c r="K279" s="10">
        <f t="shared" si="9"/>
        <v>766.12675331791695</v>
      </c>
    </row>
    <row r="280" spans="1:11" x14ac:dyDescent="0.25">
      <c r="A280" s="2" t="s">
        <v>12</v>
      </c>
      <c r="B280" s="2" t="s">
        <v>13</v>
      </c>
      <c r="C280" s="2">
        <v>76260</v>
      </c>
      <c r="D280" s="2" t="s">
        <v>323</v>
      </c>
      <c r="E280" s="2">
        <v>2</v>
      </c>
      <c r="G280" s="8">
        <v>4.5671175135898476</v>
      </c>
      <c r="H280" s="8">
        <v>0.4877504140727022</v>
      </c>
      <c r="I280" s="8">
        <v>1.08</v>
      </c>
      <c r="J280" s="9">
        <f t="shared" si="8"/>
        <v>6.1348679276625502</v>
      </c>
      <c r="K280" s="10">
        <f t="shared" si="9"/>
        <v>12.2697358553251</v>
      </c>
    </row>
    <row r="281" spans="1:11" x14ac:dyDescent="0.25">
      <c r="A281" s="2" t="s">
        <v>12</v>
      </c>
      <c r="B281" s="2" t="s">
        <v>13</v>
      </c>
      <c r="C281" s="2">
        <v>76266</v>
      </c>
      <c r="D281" s="2" t="s">
        <v>324</v>
      </c>
      <c r="E281" s="2">
        <v>21</v>
      </c>
      <c r="G281" s="8">
        <v>6.6713294742907729</v>
      </c>
      <c r="H281" s="8">
        <v>0.71247207977862637</v>
      </c>
      <c r="I281" s="8">
        <v>1.08</v>
      </c>
      <c r="J281" s="9">
        <f t="shared" si="8"/>
        <v>8.4638015540693985</v>
      </c>
      <c r="K281" s="10">
        <f t="shared" si="9"/>
        <v>177.73983263545736</v>
      </c>
    </row>
    <row r="282" spans="1:11" x14ac:dyDescent="0.25">
      <c r="A282" s="2" t="s">
        <v>12</v>
      </c>
      <c r="B282" s="2" t="s">
        <v>13</v>
      </c>
      <c r="C282" s="2">
        <v>76267</v>
      </c>
      <c r="D282" s="2" t="s">
        <v>325</v>
      </c>
      <c r="E282" s="2">
        <v>24</v>
      </c>
      <c r="G282" s="8">
        <v>6.9703218601172399</v>
      </c>
      <c r="H282" s="8">
        <v>0.74440330544941402</v>
      </c>
      <c r="I282" s="8">
        <v>1.08</v>
      </c>
      <c r="J282" s="9">
        <f t="shared" si="8"/>
        <v>8.7947251655666534</v>
      </c>
      <c r="K282" s="10">
        <f t="shared" si="9"/>
        <v>211.07340397359968</v>
      </c>
    </row>
    <row r="283" spans="1:11" x14ac:dyDescent="0.25">
      <c r="A283" s="2" t="s">
        <v>12</v>
      </c>
      <c r="B283" s="2" t="s">
        <v>13</v>
      </c>
      <c r="C283" s="2">
        <v>76268</v>
      </c>
      <c r="D283" s="2" t="s">
        <v>326</v>
      </c>
      <c r="E283" s="2">
        <v>1</v>
      </c>
      <c r="G283" s="8">
        <v>5.2997906094098202</v>
      </c>
      <c r="H283" s="8">
        <v>0.56599705537386436</v>
      </c>
      <c r="I283" s="8">
        <v>1.08</v>
      </c>
      <c r="J283" s="9">
        <f t="shared" si="8"/>
        <v>6.9457876647836843</v>
      </c>
      <c r="K283" s="10">
        <f t="shared" si="9"/>
        <v>6.9457876647836843</v>
      </c>
    </row>
    <row r="284" spans="1:11" x14ac:dyDescent="0.25">
      <c r="A284" s="2" t="s">
        <v>12</v>
      </c>
      <c r="B284" s="2" t="s">
        <v>13</v>
      </c>
      <c r="C284" s="2">
        <v>76269</v>
      </c>
      <c r="D284" s="2" t="s">
        <v>327</v>
      </c>
      <c r="E284" s="2">
        <v>12</v>
      </c>
      <c r="G284" s="8">
        <v>4.9791175135898476</v>
      </c>
      <c r="H284" s="8">
        <v>0.53175041407270229</v>
      </c>
      <c r="I284" s="8">
        <v>1.08</v>
      </c>
      <c r="J284" s="9">
        <f t="shared" si="8"/>
        <v>6.5908679276625497</v>
      </c>
      <c r="K284" s="10">
        <f t="shared" si="9"/>
        <v>79.090415131950593</v>
      </c>
    </row>
    <row r="285" spans="1:11" x14ac:dyDescent="0.25">
      <c r="A285" s="13" t="s">
        <v>12</v>
      </c>
      <c r="B285" s="13" t="s">
        <v>13</v>
      </c>
      <c r="C285" s="13">
        <v>78473</v>
      </c>
      <c r="D285" s="13" t="s">
        <v>328</v>
      </c>
      <c r="E285" s="13">
        <v>16</v>
      </c>
      <c r="F285" s="13"/>
      <c r="G285" s="14">
        <v>30.22</v>
      </c>
      <c r="H285" s="14">
        <v>3.6263999999999998</v>
      </c>
      <c r="I285" s="14">
        <v>1.08</v>
      </c>
      <c r="J285" s="15">
        <f t="shared" si="8"/>
        <v>34.926399999999994</v>
      </c>
      <c r="K285" s="14">
        <f t="shared" si="9"/>
        <v>558.8223999999999</v>
      </c>
    </row>
    <row r="286" spans="1:11" x14ac:dyDescent="0.25">
      <c r="J286" s="16" t="s">
        <v>329</v>
      </c>
      <c r="K286" s="17">
        <f>SUM(K3:K285)</f>
        <v>1328817.4071368228</v>
      </c>
    </row>
  </sheetData>
  <autoFilter ref="A2:F286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007271-971F-4180-9650-E6202CE7EB69}">
  <ds:schemaRefs>
    <ds:schemaRef ds:uri="http://schemas.microsoft.com/office/2006/metadata/properties"/>
    <ds:schemaRef ds:uri="http://schemas.microsoft.com/office/infopath/2007/PartnerControls"/>
    <ds:schemaRef ds:uri="12a9946e-2f22-4d62-9e90-a2605d575b8b"/>
    <ds:schemaRef ds:uri="700dd037-44e7-4406-9377-bf19ea6f06b3"/>
  </ds:schemaRefs>
</ds:datastoreItem>
</file>

<file path=customXml/itemProps2.xml><?xml version="1.0" encoding="utf-8"?>
<ds:datastoreItem xmlns:ds="http://schemas.openxmlformats.org/officeDocument/2006/customXml" ds:itemID="{23419FC6-CE00-4C18-8B3C-5F1F37A9D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024E35-EE03-4513-A79D-2AE570A38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ATL</vt:lpstr>
      <vt:lpstr>Bid_usage_summary_with_vertical__short_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 Lu</dc:creator>
  <cp:lastModifiedBy>Leo Garcia</cp:lastModifiedBy>
  <dcterms:created xsi:type="dcterms:W3CDTF">2026-04-06T17:05:52Z</dcterms:created>
  <dcterms:modified xsi:type="dcterms:W3CDTF">2026-04-09T18:32:52Z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0x0101000560CDE7020FBE4F987D5680CBA97CD3</vt:lpwstr>
  </property>
</Properties>
</file>